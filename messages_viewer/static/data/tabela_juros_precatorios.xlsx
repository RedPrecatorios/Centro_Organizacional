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tivo juros" sheetId="1" r:id="rId5"/>
  </sheets>
  <definedNames/>
  <calcPr/>
</workbook>
</file>

<file path=xl/sharedStrings.xml><?xml version="1.0" encoding="utf-8"?>
<sst xmlns="http://schemas.openxmlformats.org/spreadsheetml/2006/main" count="15" uniqueCount="15">
  <si>
    <t>selecionar abaixo</t>
  </si>
  <si>
    <t>Estadual</t>
  </si>
  <si>
    <t>Anos</t>
  </si>
  <si>
    <t>Valor</t>
  </si>
  <si>
    <t>Juros Mensal</t>
  </si>
  <si>
    <t>Meses</t>
  </si>
  <si>
    <t>Correção</t>
  </si>
  <si>
    <t>Valor Final</t>
  </si>
  <si>
    <t>atual</t>
  </si>
  <si>
    <t>juros simples</t>
  </si>
  <si>
    <t>IPCA</t>
  </si>
  <si>
    <t>venda</t>
  </si>
  <si>
    <t>juros compostos</t>
  </si>
  <si>
    <t>100% CDI CDB Banco</t>
  </si>
  <si>
    <t>dinheiro a mais no final do prazo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</si>
</sst>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_-&quot;R$&quot;\ * #,##0.00_-;\-&quot;R$&quot;\ * #,##0.00_-;_-&quot;R$&quot;\ * &quot;-&quot;??_-;_-@"/>
    <numFmt numFmtId="166" formatCode="_-&quot;R$&quot;\ * #,##0_-;\-&quot;R$&quot;\ * #,##0_-;_-&quot;R$&quot;\ * &quot;-&quot;??_-;_-@"/>
    <numFmt numFmtId="167" formatCode="0.0%"/>
    <numFmt numFmtId="168" formatCode="_-* #,##0.00_-;\-* #,##0.00_-;_-* &quot;-&quot;??_-;_-@"/>
  </numFmts>
  <fonts count="8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sz val="11.0"/>
      <color rgb="FFEEEEEE"/>
      <name val="Figtree"/>
    </font>
    <font>
      <sz val="8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2C2C2C"/>
        <bgColor rgb="FF2C2C2C"/>
      </patternFill>
    </fill>
    <fill>
      <patternFill patternType="solid">
        <fgColor rgb="FF93C47D"/>
        <bgColor rgb="FF93C47D"/>
      </patternFill>
    </fill>
    <fill>
      <patternFill patternType="solid">
        <fgColor rgb="FFCAEDFB"/>
        <bgColor rgb="FFCAEDF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/>
    </xf>
    <xf borderId="1" fillId="2" fontId="3" numFmtId="0" xfId="0" applyBorder="1" applyFont="1"/>
    <xf borderId="0" fillId="0" fontId="1" numFmtId="0" xfId="0" applyAlignment="1" applyFont="1">
      <alignment horizontal="center"/>
    </xf>
    <xf borderId="0" fillId="3" fontId="4" numFmtId="0" xfId="0" applyAlignment="1" applyFill="1" applyFont="1">
      <alignment horizontal="left" readingOrder="0"/>
    </xf>
    <xf borderId="1" fillId="2" fontId="4" numFmtId="3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Font="1"/>
    <xf borderId="0" fillId="4" fontId="6" numFmtId="164" xfId="0" applyAlignment="1" applyFill="1" applyFont="1" applyNumberFormat="1">
      <alignment readingOrder="0"/>
    </xf>
    <xf borderId="0" fillId="0" fontId="1" numFmtId="10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165" xfId="0" applyFont="1" applyNumberFormat="1"/>
    <xf borderId="0" fillId="5" fontId="5" numFmtId="0" xfId="0" applyFill="1" applyFont="1"/>
    <xf borderId="0" fillId="5" fontId="4" numFmtId="164" xfId="0" applyAlignment="1" applyFont="1" applyNumberFormat="1">
      <alignment horizontal="right" readingOrder="0"/>
    </xf>
    <xf borderId="0" fillId="5" fontId="1" numFmtId="10" xfId="0" applyAlignment="1" applyFont="1" applyNumberFormat="1">
      <alignment horizontal="center"/>
    </xf>
    <xf borderId="0" fillId="5" fontId="1" numFmtId="0" xfId="0" applyAlignment="1" applyFont="1">
      <alignment horizontal="center"/>
    </xf>
    <xf borderId="0" fillId="5" fontId="1" numFmtId="9" xfId="0" applyAlignment="1" applyFont="1" applyNumberFormat="1">
      <alignment horizontal="center"/>
    </xf>
    <xf borderId="0" fillId="5" fontId="1" numFmtId="165" xfId="0" applyFont="1" applyNumberFormat="1"/>
    <xf borderId="1" fillId="6" fontId="3" numFmtId="165" xfId="0" applyBorder="1" applyFill="1" applyFont="1" applyNumberFormat="1"/>
    <xf borderId="1" fillId="6" fontId="3" numFmtId="0" xfId="0" applyBorder="1" applyFont="1"/>
    <xf borderId="0" fillId="0" fontId="1" numFmtId="9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2" xfId="0" applyFont="1" applyNumberFormat="1"/>
    <xf borderId="0" fillId="0" fontId="1" numFmtId="4" xfId="0" applyFont="1" applyNumberFormat="1"/>
    <xf borderId="0" fillId="0" fontId="7" numFmtId="0" xfId="0" applyFont="1"/>
    <xf borderId="0" fillId="0" fontId="1" numFmtId="10" xfId="0" applyFont="1" applyNumberFormat="1"/>
    <xf borderId="0" fillId="0" fontId="1" numFmtId="168" xfId="0" applyFont="1" applyNumberFormat="1"/>
    <xf borderId="0" fillId="0" fontId="1" numFmtId="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8.13"/>
    <col customWidth="1" min="3" max="3" width="18.63"/>
    <col customWidth="1" min="4" max="4" width="11.88"/>
    <col customWidth="1" min="5" max="5" width="10.75"/>
    <col customWidth="1" min="6" max="6" width="23.38"/>
    <col customWidth="1" min="7" max="7" width="30.88"/>
    <col customWidth="1" min="8" max="8" width="19.25"/>
    <col customWidth="1" min="9" max="26" width="8.63"/>
  </cols>
  <sheetData>
    <row r="1">
      <c r="A1" s="1" t="s">
        <v>0</v>
      </c>
    </row>
    <row r="2">
      <c r="A2" s="2" t="s">
        <v>1</v>
      </c>
    </row>
    <row r="3">
      <c r="A3" s="3"/>
      <c r="D3" s="4" t="s">
        <v>2</v>
      </c>
    </row>
    <row r="4">
      <c r="A4" s="5"/>
      <c r="C4" s="4"/>
      <c r="D4" s="6">
        <v>10.0</v>
      </c>
    </row>
    <row r="5">
      <c r="B5" s="7" t="s">
        <v>3</v>
      </c>
      <c r="C5" s="7" t="s">
        <v>4</v>
      </c>
      <c r="D5" s="8" t="s">
        <v>5</v>
      </c>
      <c r="E5" s="7" t="s">
        <v>6</v>
      </c>
      <c r="F5" s="7" t="s">
        <v>7</v>
      </c>
    </row>
    <row r="6">
      <c r="A6" s="9" t="s">
        <v>8</v>
      </c>
      <c r="B6" s="10">
        <v>50000.0</v>
      </c>
      <c r="C6" s="11">
        <f>5%/12</f>
        <v>0.004166666667</v>
      </c>
      <c r="D6" s="4">
        <f>D4*12</f>
        <v>120</v>
      </c>
      <c r="E6" s="12">
        <f>D6*C6</f>
        <v>0.5</v>
      </c>
      <c r="F6" s="13">
        <f>B6*E6+B6</f>
        <v>75000</v>
      </c>
      <c r="G6" s="9" t="s">
        <v>9</v>
      </c>
      <c r="H6" s="9" t="s">
        <v>10</v>
      </c>
    </row>
    <row r="7">
      <c r="A7" s="14" t="s">
        <v>11</v>
      </c>
      <c r="B7" s="15">
        <v>15980.0</v>
      </c>
      <c r="C7" s="16">
        <f>(15%/12)*1</f>
        <v>0.0125</v>
      </c>
      <c r="D7" s="17">
        <f>D6</f>
        <v>120</v>
      </c>
      <c r="E7" s="18">
        <f>(1+C7)^D7-1</f>
        <v>3.440213229</v>
      </c>
      <c r="F7" s="19">
        <f>(1+E7)*B7</f>
        <v>70954.6074</v>
      </c>
      <c r="G7" s="14" t="s">
        <v>12</v>
      </c>
      <c r="H7" s="14" t="s">
        <v>13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F8" s="20">
        <f>F7-F6</f>
        <v>-4045.392602</v>
      </c>
      <c r="G8" s="21" t="s">
        <v>14</v>
      </c>
    </row>
    <row r="9">
      <c r="B9" s="22"/>
    </row>
    <row r="10">
      <c r="B10" s="23"/>
      <c r="C10" s="24"/>
      <c r="D10" s="24"/>
      <c r="E10" s="25"/>
      <c r="G10" s="26"/>
    </row>
    <row r="11">
      <c r="B11" s="13"/>
      <c r="C11" s="11"/>
      <c r="D11" s="26"/>
      <c r="E11" s="25"/>
    </row>
    <row r="12">
      <c r="C12" s="11"/>
      <c r="D12" s="26"/>
      <c r="E12" s="25"/>
    </row>
    <row r="13">
      <c r="B13" s="13"/>
      <c r="C13" s="11"/>
      <c r="D13" s="26"/>
      <c r="E13" s="25"/>
    </row>
    <row r="14">
      <c r="B14" s="23"/>
      <c r="C14" s="11"/>
      <c r="D14" s="26"/>
      <c r="E14" s="25"/>
    </row>
    <row r="15">
      <c r="B15" s="13"/>
      <c r="C15" s="11"/>
      <c r="D15" s="26"/>
      <c r="E15" s="25"/>
    </row>
    <row r="16">
      <c r="A16" s="27"/>
      <c r="B16" s="27"/>
      <c r="C16" s="27"/>
      <c r="D16" s="27"/>
      <c r="E16" s="27"/>
      <c r="G16" s="26"/>
      <c r="H16" s="26"/>
    </row>
    <row r="17">
      <c r="A17" s="27"/>
      <c r="B17" s="27"/>
      <c r="C17" s="27"/>
      <c r="D17" s="27"/>
      <c r="E17" s="27"/>
    </row>
    <row r="18">
      <c r="A18" s="28"/>
      <c r="B18" s="28"/>
      <c r="C18" s="28"/>
      <c r="D18" s="28"/>
      <c r="E18" s="28"/>
    </row>
    <row r="19">
      <c r="B19" s="29"/>
      <c r="C19" s="11"/>
      <c r="D19" s="26"/>
      <c r="E19" s="25"/>
    </row>
    <row r="20">
      <c r="B20" s="29"/>
      <c r="C20" s="29"/>
      <c r="D20" s="26"/>
      <c r="E20" s="25"/>
    </row>
    <row r="21" ht="15.75" customHeight="1">
      <c r="B21" s="29"/>
      <c r="C21" s="29"/>
      <c r="D21" s="26"/>
      <c r="E21" s="25"/>
    </row>
    <row r="22" ht="15.75" customHeight="1">
      <c r="C22" s="11"/>
      <c r="D22" s="26"/>
      <c r="E22" s="25"/>
    </row>
    <row r="23" ht="15.75" customHeight="1">
      <c r="B23" s="29"/>
      <c r="C23" s="11"/>
      <c r="D23" s="26"/>
      <c r="E23" s="25"/>
    </row>
    <row r="24" ht="15.75" customHeight="1">
      <c r="C24" s="30"/>
      <c r="D24" s="26"/>
      <c r="E24" s="25"/>
    </row>
    <row r="25" ht="15.75" customHeight="1">
      <c r="C25" s="11"/>
      <c r="D25" s="26"/>
      <c r="E25" s="25"/>
    </row>
    <row r="26" ht="15.75" customHeight="1">
      <c r="C26" s="11"/>
      <c r="D26" s="26"/>
      <c r="E26" s="25"/>
    </row>
    <row r="27" ht="15.75" customHeight="1">
      <c r="C27" s="11"/>
      <c r="D27" s="26"/>
      <c r="E27" s="25"/>
    </row>
    <row r="28" ht="15.75" customHeight="1">
      <c r="C28" s="11"/>
      <c r="D28" s="26"/>
      <c r="E28" s="25"/>
    </row>
    <row r="29" ht="15.75" customHeight="1">
      <c r="C29" s="11"/>
      <c r="D29" s="26"/>
      <c r="E29" s="25"/>
    </row>
    <row r="30" ht="15.75" customHeight="1">
      <c r="C30" s="11"/>
      <c r="D30" s="26"/>
      <c r="E30" s="25"/>
    </row>
    <row r="31" ht="15.75" customHeight="1">
      <c r="C31" s="11"/>
      <c r="D31" s="26"/>
      <c r="E31" s="25"/>
    </row>
    <row r="32" ht="15.75" customHeight="1">
      <c r="C32" s="11"/>
      <c r="D32" s="26"/>
      <c r="E32" s="25"/>
    </row>
    <row r="33" ht="15.75" customHeight="1">
      <c r="C33" s="11"/>
      <c r="D33" s="26"/>
      <c r="E33" s="25"/>
    </row>
    <row r="34" ht="15.75" customHeight="1">
      <c r="C34" s="11"/>
      <c r="D34" s="26"/>
      <c r="E34" s="25"/>
    </row>
    <row r="35" ht="15.75" customHeight="1">
      <c r="C35" s="11"/>
      <c r="D35" s="26"/>
      <c r="E35" s="25"/>
    </row>
    <row r="36" ht="15.75" customHeight="1">
      <c r="C36" s="11"/>
      <c r="D36" s="26"/>
      <c r="E36" s="25"/>
    </row>
    <row r="37" ht="15.75" customHeight="1">
      <c r="C37" s="11"/>
      <c r="D37" s="26"/>
      <c r="E37" s="25"/>
    </row>
    <row r="38" ht="15.75" customHeight="1">
      <c r="C38" s="11"/>
      <c r="D38" s="26"/>
      <c r="E38" s="25"/>
    </row>
    <row r="39" ht="15.75" customHeight="1">
      <c r="C39" s="11"/>
      <c r="D39" s="26"/>
      <c r="E39" s="25"/>
    </row>
    <row r="40" ht="15.75" customHeight="1">
      <c r="C40" s="11"/>
      <c r="D40" s="26"/>
      <c r="E40" s="25"/>
    </row>
    <row r="41" ht="15.75" customHeight="1">
      <c r="C41" s="11"/>
      <c r="D41" s="26"/>
      <c r="E41" s="25"/>
    </row>
    <row r="42" ht="15.75" customHeight="1">
      <c r="C42" s="11"/>
      <c r="D42" s="26"/>
      <c r="E42" s="25"/>
    </row>
    <row r="43" ht="15.75" customHeight="1">
      <c r="C43" s="11"/>
      <c r="D43" s="26"/>
      <c r="E43" s="25"/>
    </row>
    <row r="44" ht="15.75" customHeight="1">
      <c r="C44" s="11"/>
      <c r="D44" s="26"/>
      <c r="E44" s="25"/>
    </row>
    <row r="45" ht="15.75" customHeight="1">
      <c r="C45" s="11"/>
      <c r="D45" s="26"/>
      <c r="E45" s="25"/>
    </row>
    <row r="46" ht="15.75" customHeight="1">
      <c r="C46" s="11"/>
      <c r="D46" s="26"/>
      <c r="E46" s="25"/>
    </row>
    <row r="47" ht="15.75" customHeight="1">
      <c r="C47" s="11"/>
      <c r="D47" s="26"/>
      <c r="E47" s="25"/>
    </row>
    <row r="48" ht="15.75" customHeight="1">
      <c r="C48" s="11"/>
      <c r="D48" s="26"/>
      <c r="E48" s="25"/>
    </row>
    <row r="49" ht="15.75" customHeight="1">
      <c r="C49" s="11"/>
      <c r="D49" s="26"/>
      <c r="E49" s="25"/>
    </row>
    <row r="50" ht="15.75" customHeight="1">
      <c r="C50" s="11"/>
      <c r="D50" s="26"/>
      <c r="E50" s="25"/>
    </row>
    <row r="51" ht="15.75" customHeight="1">
      <c r="C51" s="11"/>
      <c r="D51" s="26"/>
      <c r="E51" s="25"/>
    </row>
    <row r="52" ht="15.75" customHeight="1">
      <c r="C52" s="11"/>
      <c r="D52" s="26"/>
      <c r="E52" s="25"/>
    </row>
    <row r="53" ht="15.75" customHeight="1">
      <c r="C53" s="11"/>
      <c r="D53" s="26"/>
      <c r="E53" s="25"/>
    </row>
    <row r="54" ht="15.75" customHeight="1">
      <c r="C54" s="11"/>
      <c r="D54" s="26"/>
      <c r="E54" s="25"/>
    </row>
    <row r="55" ht="15.75" customHeight="1">
      <c r="C55" s="11"/>
      <c r="D55" s="26"/>
      <c r="E55" s="25"/>
    </row>
    <row r="56" ht="15.75" customHeight="1">
      <c r="C56" s="11"/>
      <c r="D56" s="26"/>
      <c r="E56" s="25"/>
    </row>
    <row r="57" ht="15.75" customHeight="1">
      <c r="C57" s="11"/>
      <c r="D57" s="26"/>
      <c r="E57" s="25"/>
    </row>
    <row r="58" ht="15.75" customHeight="1">
      <c r="C58" s="11"/>
      <c r="D58" s="26"/>
      <c r="E58" s="25"/>
    </row>
    <row r="59" ht="15.75" customHeight="1">
      <c r="C59" s="11"/>
      <c r="D59" s="26"/>
      <c r="E59" s="25"/>
    </row>
    <row r="60" ht="15.75" customHeight="1">
      <c r="C60" s="11"/>
      <c r="D60" s="26"/>
      <c r="E60" s="25"/>
    </row>
    <row r="61" ht="15.75" customHeight="1">
      <c r="C61" s="11"/>
      <c r="D61" s="26"/>
      <c r="E61" s="25"/>
    </row>
    <row r="62" ht="15.75" customHeight="1">
      <c r="C62" s="11"/>
      <c r="D62" s="26"/>
      <c r="E62" s="25"/>
    </row>
    <row r="63" ht="15.75" customHeight="1">
      <c r="C63" s="11"/>
      <c r="D63" s="26"/>
      <c r="E63" s="25"/>
    </row>
    <row r="64" ht="15.75" customHeight="1">
      <c r="C64" s="11"/>
      <c r="D64" s="26"/>
      <c r="E64" s="25"/>
    </row>
    <row r="65" ht="15.75" customHeight="1">
      <c r="C65" s="11"/>
      <c r="D65" s="26"/>
      <c r="E65" s="25"/>
    </row>
    <row r="66" ht="15.75" customHeight="1">
      <c r="C66" s="11"/>
      <c r="D66" s="26"/>
      <c r="E66" s="25"/>
    </row>
    <row r="67" ht="15.75" customHeight="1">
      <c r="C67" s="11"/>
      <c r="D67" s="26"/>
      <c r="E67" s="25"/>
    </row>
    <row r="68" ht="15.75" customHeight="1">
      <c r="C68" s="11"/>
      <c r="D68" s="26"/>
      <c r="E68" s="25"/>
    </row>
    <row r="69" ht="15.75" customHeight="1">
      <c r="C69" s="11"/>
      <c r="D69" s="26"/>
      <c r="E69" s="25"/>
    </row>
    <row r="70" ht="15.75" customHeight="1">
      <c r="C70" s="11"/>
      <c r="D70" s="26"/>
      <c r="E70" s="25"/>
    </row>
    <row r="71" ht="15.75" customHeight="1">
      <c r="C71" s="11"/>
      <c r="D71" s="26"/>
      <c r="E71" s="25"/>
    </row>
    <row r="72" ht="15.75" customHeight="1">
      <c r="C72" s="11"/>
      <c r="D72" s="26"/>
      <c r="E72" s="25"/>
    </row>
    <row r="73" ht="15.75" customHeight="1">
      <c r="C73" s="11"/>
      <c r="D73" s="26"/>
      <c r="E73" s="25"/>
    </row>
    <row r="74" ht="15.75" customHeight="1">
      <c r="C74" s="11"/>
      <c r="D74" s="26"/>
      <c r="E74" s="25"/>
    </row>
    <row r="75" ht="15.75" customHeight="1">
      <c r="C75" s="11"/>
      <c r="D75" s="26"/>
      <c r="E75" s="25"/>
    </row>
    <row r="76" ht="15.75" customHeight="1">
      <c r="C76" s="11"/>
      <c r="D76" s="26"/>
      <c r="E76" s="25"/>
    </row>
    <row r="77" ht="15.75" customHeight="1">
      <c r="C77" s="11"/>
      <c r="D77" s="26"/>
      <c r="E77" s="25"/>
    </row>
    <row r="78" ht="15.75" customHeight="1">
      <c r="C78" s="11"/>
      <c r="D78" s="26"/>
      <c r="E78" s="25"/>
    </row>
    <row r="79" ht="15.75" customHeight="1">
      <c r="C79" s="11"/>
      <c r="D79" s="26"/>
      <c r="E79" s="25"/>
    </row>
    <row r="80" ht="15.75" customHeight="1">
      <c r="C80" s="11"/>
      <c r="D80" s="26"/>
      <c r="E80" s="25"/>
    </row>
    <row r="81" ht="15.75" customHeight="1">
      <c r="C81" s="11"/>
      <c r="D81" s="26"/>
      <c r="E81" s="25"/>
    </row>
    <row r="82" ht="15.75" customHeight="1">
      <c r="C82" s="11"/>
      <c r="D82" s="26"/>
      <c r="E82" s="25"/>
    </row>
    <row r="83" ht="15.75" customHeight="1">
      <c r="C83" s="11"/>
      <c r="D83" s="26"/>
      <c r="E83" s="25"/>
    </row>
    <row r="84" ht="15.75" customHeight="1">
      <c r="C84" s="11"/>
      <c r="D84" s="26"/>
      <c r="E84" s="25"/>
    </row>
    <row r="85" ht="15.75" customHeight="1">
      <c r="C85" s="11"/>
      <c r="D85" s="26"/>
      <c r="E85" s="25"/>
    </row>
    <row r="86" ht="15.75" customHeight="1">
      <c r="C86" s="11"/>
      <c r="D86" s="26"/>
      <c r="E86" s="25"/>
    </row>
    <row r="87" ht="15.75" customHeight="1">
      <c r="C87" s="11"/>
      <c r="D87" s="26"/>
      <c r="E87" s="25"/>
    </row>
    <row r="88" ht="15.75" customHeight="1">
      <c r="C88" s="11"/>
      <c r="D88" s="26"/>
      <c r="E88" s="25"/>
    </row>
    <row r="89" ht="15.75" customHeight="1">
      <c r="C89" s="11"/>
      <c r="D89" s="26"/>
      <c r="E89" s="25"/>
    </row>
    <row r="90" ht="15.75" customHeight="1">
      <c r="C90" s="11"/>
      <c r="D90" s="26"/>
      <c r="E90" s="25"/>
    </row>
    <row r="91" ht="15.75" customHeight="1">
      <c r="C91" s="11"/>
      <c r="D91" s="26"/>
      <c r="E91" s="25"/>
    </row>
    <row r="92" ht="15.75" customHeight="1">
      <c r="C92" s="11"/>
      <c r="D92" s="26"/>
      <c r="E92" s="25"/>
    </row>
    <row r="93" ht="15.75" customHeight="1">
      <c r="C93" s="11"/>
      <c r="D93" s="26"/>
      <c r="E93" s="25"/>
    </row>
    <row r="94" ht="15.75" customHeight="1">
      <c r="C94" s="11"/>
      <c r="D94" s="26"/>
      <c r="E94" s="25"/>
    </row>
    <row r="95" ht="15.75" customHeight="1">
      <c r="C95" s="11"/>
      <c r="D95" s="26"/>
      <c r="E95" s="25"/>
    </row>
    <row r="96" ht="15.75" customHeight="1">
      <c r="C96" s="11"/>
      <c r="D96" s="26"/>
      <c r="E96" s="25"/>
    </row>
    <row r="97" ht="15.75" customHeight="1">
      <c r="C97" s="11"/>
      <c r="D97" s="26"/>
      <c r="E97" s="25"/>
    </row>
    <row r="98" ht="15.75" customHeight="1">
      <c r="C98" s="11"/>
      <c r="D98" s="26"/>
      <c r="E98" s="25"/>
    </row>
    <row r="99" ht="15.75" customHeight="1">
      <c r="C99" s="11"/>
      <c r="D99" s="26"/>
      <c r="E99" s="25"/>
    </row>
    <row r="100" ht="15.75" customHeight="1">
      <c r="C100" s="11"/>
      <c r="D100" s="26"/>
      <c r="E100" s="25"/>
    </row>
    <row r="101" ht="15.75" customHeight="1">
      <c r="C101" s="11"/>
      <c r="D101" s="26"/>
      <c r="E101" s="25"/>
    </row>
    <row r="102" ht="15.75" customHeight="1">
      <c r="C102" s="11"/>
      <c r="D102" s="26"/>
      <c r="E102" s="25"/>
    </row>
    <row r="103" ht="15.75" customHeight="1">
      <c r="C103" s="11"/>
      <c r="D103" s="26"/>
      <c r="E103" s="25"/>
    </row>
    <row r="104" ht="15.75" customHeight="1">
      <c r="C104" s="11"/>
      <c r="D104" s="26"/>
      <c r="E104" s="25"/>
    </row>
    <row r="105" ht="15.75" customHeight="1">
      <c r="C105" s="11"/>
      <c r="D105" s="26"/>
      <c r="E105" s="25"/>
    </row>
    <row r="106" ht="15.75" customHeight="1">
      <c r="C106" s="11"/>
      <c r="D106" s="26"/>
      <c r="E106" s="25"/>
    </row>
    <row r="107" ht="15.75" customHeight="1">
      <c r="C107" s="11"/>
      <c r="D107" s="26"/>
      <c r="E107" s="25"/>
    </row>
    <row r="108" ht="15.75" customHeight="1">
      <c r="C108" s="11"/>
      <c r="D108" s="26"/>
      <c r="E108" s="25"/>
    </row>
    <row r="109" ht="15.75" customHeight="1">
      <c r="C109" s="11"/>
      <c r="D109" s="26"/>
      <c r="E109" s="25"/>
    </row>
    <row r="110" ht="15.75" customHeight="1">
      <c r="C110" s="11"/>
      <c r="D110" s="26"/>
      <c r="E110" s="25"/>
    </row>
    <row r="111" ht="15.75" customHeight="1">
      <c r="C111" s="11"/>
      <c r="D111" s="26"/>
      <c r="E111" s="25"/>
    </row>
    <row r="112" ht="15.75" customHeight="1">
      <c r="C112" s="11"/>
      <c r="D112" s="26"/>
      <c r="E112" s="25"/>
    </row>
    <row r="113" ht="15.75" customHeight="1">
      <c r="C113" s="11"/>
      <c r="D113" s="26"/>
      <c r="E113" s="25"/>
    </row>
    <row r="114" ht="15.75" customHeight="1">
      <c r="C114" s="11"/>
      <c r="D114" s="26"/>
      <c r="E114" s="25"/>
    </row>
    <row r="115" ht="15.75" customHeight="1">
      <c r="C115" s="11"/>
      <c r="D115" s="26"/>
      <c r="E115" s="25"/>
    </row>
    <row r="116" ht="15.75" customHeight="1">
      <c r="C116" s="11"/>
      <c r="D116" s="26"/>
      <c r="E116" s="25"/>
    </row>
    <row r="117" ht="15.75" customHeight="1">
      <c r="C117" s="11"/>
      <c r="D117" s="26"/>
      <c r="E117" s="25"/>
    </row>
    <row r="118" ht="15.75" customHeight="1">
      <c r="C118" s="11"/>
      <c r="D118" s="26"/>
      <c r="E118" s="25"/>
    </row>
    <row r="119" ht="15.75" customHeight="1">
      <c r="C119" s="11"/>
      <c r="D119" s="26"/>
      <c r="E119" s="25"/>
    </row>
    <row r="120" ht="15.75" customHeight="1">
      <c r="C120" s="11"/>
      <c r="D120" s="26"/>
      <c r="E120" s="25"/>
    </row>
    <row r="121" ht="15.75" customHeight="1">
      <c r="C121" s="11"/>
      <c r="D121" s="26"/>
      <c r="E121" s="25"/>
    </row>
    <row r="122" ht="15.75" customHeight="1">
      <c r="C122" s="11"/>
      <c r="D122" s="26"/>
      <c r="E122" s="25"/>
    </row>
    <row r="123" ht="15.75" customHeight="1">
      <c r="C123" s="11"/>
      <c r="D123" s="26"/>
      <c r="E123" s="25"/>
    </row>
    <row r="124" ht="15.75" customHeight="1">
      <c r="C124" s="11"/>
      <c r="D124" s="26"/>
      <c r="E124" s="25"/>
    </row>
    <row r="125" ht="15.75" customHeight="1">
      <c r="C125" s="11"/>
      <c r="D125" s="26"/>
      <c r="E125" s="25"/>
    </row>
    <row r="126" ht="15.75" customHeight="1">
      <c r="C126" s="11"/>
      <c r="D126" s="26"/>
      <c r="E126" s="25"/>
    </row>
    <row r="127" ht="15.75" customHeight="1">
      <c r="C127" s="11"/>
      <c r="D127" s="26"/>
      <c r="E127" s="25"/>
    </row>
    <row r="128" ht="15.75" customHeight="1">
      <c r="C128" s="11"/>
      <c r="D128" s="26"/>
      <c r="E128" s="25"/>
    </row>
    <row r="129" ht="15.75" customHeight="1">
      <c r="C129" s="11"/>
      <c r="D129" s="26"/>
      <c r="E129" s="25"/>
    </row>
    <row r="130" ht="15.75" customHeight="1">
      <c r="C130" s="11"/>
      <c r="D130" s="26"/>
      <c r="E130" s="25"/>
    </row>
    <row r="131" ht="15.75" customHeight="1">
      <c r="C131" s="11"/>
      <c r="D131" s="26"/>
    </row>
    <row r="132" ht="15.75" customHeight="1">
      <c r="C132" s="11"/>
      <c r="D132" s="26"/>
    </row>
    <row r="133" ht="15.75" customHeight="1">
      <c r="C133" s="11"/>
      <c r="D133" s="26"/>
    </row>
    <row r="134" ht="15.75" customHeight="1">
      <c r="C134" s="11"/>
      <c r="D134" s="26"/>
    </row>
    <row r="135" ht="15.75" customHeight="1">
      <c r="C135" s="11"/>
      <c r="D135" s="26"/>
    </row>
    <row r="136" ht="15.75" customHeight="1">
      <c r="C136" s="11"/>
      <c r="D136" s="26"/>
    </row>
    <row r="137" ht="15.75" customHeight="1">
      <c r="C137" s="11"/>
      <c r="D137" s="26"/>
    </row>
    <row r="138" ht="15.75" customHeight="1">
      <c r="C138" s="11"/>
      <c r="D138" s="26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B4"/>
  </mergeCells>
  <dataValidations>
    <dataValidation type="list" allowBlank="1" showErrorMessage="1" sqref="A2:A3">
      <formula1>"Municipal,Estadual,federal"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