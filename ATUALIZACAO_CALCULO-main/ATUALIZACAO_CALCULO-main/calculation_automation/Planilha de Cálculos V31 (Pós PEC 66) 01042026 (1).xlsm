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166925"/>
  <mc:AlternateContent xmlns:mc="http://schemas.openxmlformats.org/markup-compatibility/2006">
    <mc:Choice Requires="x15">
      <x15ac:absPath xmlns:x15ac="http://schemas.microsoft.com/office/spreadsheetml/2010/11/ac" url="C:\Users\justi\Downloads\"/>
    </mc:Choice>
  </mc:AlternateContent>
  <xr:revisionPtr revIDLastSave="0" documentId="8_{B58FBBA8-02B0-49FE-A5C5-3DD4F2071763}" xr6:coauthVersionLast="47" xr6:coauthVersionMax="47" xr10:uidLastSave="{00000000-0000-0000-0000-000000000000}"/>
  <bookViews>
    <workbookView xWindow="-28920" yWindow="-120" windowWidth="29040" windowHeight="15720" tabRatio="774" xr2:uid="{D261C2A4-1466-4ABC-B85C-F52A1440D590}"/>
  </bookViews>
  <sheets>
    <sheet name="(02.2) Mem Detalhada (DEPRE SP)" sheetId="16" r:id="rId1"/>
    <sheet name="(01.1) TABELA DEPRE-EC 113" sheetId="5" r:id="rId2"/>
    <sheet name="(01.2) TABELA DEPRE-IPCAE" sheetId="15" r:id="rId3"/>
    <sheet name="(01.3) POUPANCA" sheetId="11" r:id="rId4"/>
    <sheet name="(01.4) SELIC" sheetId="7" r:id="rId5"/>
    <sheet name="Datas OCs" sheetId="17" r:id="rId6"/>
    <sheet name="RRA" sheetId="18" r:id="rId7"/>
  </sheets>
  <definedNames>
    <definedName name="_xlnm._FilterDatabase" localSheetId="3" hidden="1">'(01.3) POUPANCA'!$A$7:$C$283</definedName>
    <definedName name="_xlnm._FilterDatabase" localSheetId="4" hidden="1">'(01.4) SELIC'!$A$7:$C$283</definedName>
    <definedName name="_xlnm._FilterDatabase" localSheetId="0" hidden="1">'(02.2) Mem Detalhada (DEPRE SP)'!$A$10:$B$18</definedName>
    <definedName name="_xlnm.Print_Area" localSheetId="0">'(02.2) Mem Detalhada (DEPRE SP)'!$1:$316</definedName>
    <definedName name="POUP_DATA">'(01.3) POUPANCA'!$A$44:$A$1038</definedName>
    <definedName name="POUP_VALOR">'(01.3) POUPANCA'!$B$44:$B$1038</definedName>
    <definedName name="POUPANCA">'(01.3) POUPANCA'!$A$44:$D$1038</definedName>
    <definedName name="SELIC">'(01.4) SELIC'!$A$44:$D$1038</definedName>
    <definedName name="SELIC_DATA">'(01.4) SELIC'!$A$44:$A$1038</definedName>
    <definedName name="SELIC_VALOR">'(01.4) SELIC'!$B$44:$B$1038</definedName>
    <definedName name="TABELADEPRESP">'(01.1) TABELA DEPRE-EC 113'!$A$8:$B$9999</definedName>
    <definedName name="TABIPCATJSP">'(01.2) TABELA DEPRE-IPCAE'!$A$8:$B$9999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46" i="5" l="1"/>
  <c r="C745" i="5"/>
  <c r="C744" i="5"/>
  <c r="C743" i="5"/>
  <c r="C742" i="5"/>
  <c r="C741" i="5"/>
  <c r="C740" i="5"/>
  <c r="B294" i="16"/>
  <c r="B293" i="16"/>
  <c r="A293" i="16"/>
  <c r="H288" i="16"/>
  <c r="H277" i="16"/>
  <c r="G277" i="16"/>
  <c r="A276" i="16"/>
  <c r="B271" i="16"/>
  <c r="C199" i="16"/>
  <c r="G206" i="16" s="1"/>
  <c r="B260" i="16"/>
  <c r="B259" i="16"/>
  <c r="A259" i="16"/>
  <c r="H254" i="16"/>
  <c r="H243" i="16"/>
  <c r="G243" i="16"/>
  <c r="A242" i="16"/>
  <c r="B237" i="16"/>
  <c r="C200" i="16" l="1"/>
  <c r="C209" i="16"/>
  <c r="E187" i="16"/>
  <c r="B225" i="16"/>
  <c r="B224" i="16"/>
  <c r="A224" i="16"/>
  <c r="H219" i="16"/>
  <c r="H208" i="16"/>
  <c r="G208" i="16"/>
  <c r="A207" i="16"/>
  <c r="B202" i="16"/>
  <c r="C739" i="5"/>
  <c r="C738" i="5"/>
  <c r="B738" i="5"/>
  <c r="F27" i="17"/>
  <c r="B737" i="5"/>
  <c r="B736" i="5"/>
  <c r="B735" i="5"/>
  <c r="B734" i="5"/>
  <c r="J11" i="18"/>
  <c r="G32" i="16"/>
  <c r="B733" i="5"/>
  <c r="B732" i="5"/>
  <c r="A732" i="5"/>
  <c r="A733" i="5" s="1"/>
  <c r="A734" i="5" s="1"/>
  <c r="A735" i="5" s="1"/>
  <c r="A736" i="5" s="1"/>
  <c r="A737" i="5" s="1"/>
  <c r="A738" i="5" s="1"/>
  <c r="A739" i="5" s="1"/>
  <c r="A740" i="5" s="1"/>
  <c r="A741" i="5" s="1"/>
  <c r="A742" i="5" s="1"/>
  <c r="A743" i="5" s="1"/>
  <c r="A744" i="5" s="1"/>
  <c r="A745" i="5" s="1"/>
  <c r="A746" i="5" s="1"/>
  <c r="A405" i="15"/>
  <c r="A406" i="15" s="1"/>
  <c r="A407" i="15" s="1"/>
  <c r="A408" i="15" s="1"/>
  <c r="A409" i="15" s="1"/>
  <c r="A410" i="15" s="1"/>
  <c r="A411" i="15" s="1"/>
  <c r="A412" i="15" s="1"/>
  <c r="A413" i="15" s="1"/>
  <c r="A414" i="15" s="1"/>
  <c r="A415" i="15" s="1"/>
  <c r="A416" i="15" s="1"/>
  <c r="A417" i="15" s="1"/>
  <c r="A418" i="15" s="1"/>
  <c r="A419" i="15" s="1"/>
  <c r="B731" i="5"/>
  <c r="B730" i="5"/>
  <c r="B729" i="5"/>
  <c r="B728" i="5"/>
  <c r="B727" i="5"/>
  <c r="B726" i="5"/>
  <c r="B725" i="5"/>
  <c r="B724" i="5"/>
  <c r="B723" i="5"/>
  <c r="B722" i="5"/>
  <c r="D722" i="5" s="1"/>
  <c r="B721" i="5"/>
  <c r="B720" i="5"/>
  <c r="B719" i="5"/>
  <c r="B718" i="5"/>
  <c r="B717" i="5"/>
  <c r="B716" i="5"/>
  <c r="B715" i="5"/>
  <c r="B714" i="5"/>
  <c r="B713" i="5"/>
  <c r="B712" i="5"/>
  <c r="B711" i="5"/>
  <c r="B710" i="5"/>
  <c r="B709" i="5"/>
  <c r="B708" i="5"/>
  <c r="B707" i="5"/>
  <c r="B706" i="5"/>
  <c r="B705" i="5"/>
  <c r="B704" i="5"/>
  <c r="B703" i="5"/>
  <c r="B702" i="5"/>
  <c r="B701" i="5"/>
  <c r="B700" i="5"/>
  <c r="B699" i="5"/>
  <c r="B698" i="5"/>
  <c r="B697" i="5"/>
  <c r="B696" i="5"/>
  <c r="B695" i="5"/>
  <c r="B694" i="5"/>
  <c r="B693" i="5"/>
  <c r="K315" i="16"/>
  <c r="E11" i="18"/>
  <c r="G36" i="16"/>
  <c r="K36" i="16" s="1"/>
  <c r="B745" i="5" l="1"/>
  <c r="B746" i="5"/>
  <c r="D199" i="16"/>
  <c r="B742" i="5"/>
  <c r="B744" i="5"/>
  <c r="B743" i="5"/>
  <c r="B741" i="5"/>
  <c r="B740" i="5"/>
  <c r="D200" i="16"/>
  <c r="I206" i="16"/>
  <c r="B739" i="5"/>
  <c r="H722" i="5"/>
  <c r="K32" i="16"/>
  <c r="F187" i="16" l="1"/>
  <c r="H161" i="16"/>
  <c r="E160" i="16"/>
  <c r="F160" i="16" s="1"/>
  <c r="C160" i="16"/>
  <c r="D160" i="16" s="1"/>
  <c r="B134" i="16"/>
  <c r="B133" i="16"/>
  <c r="A133" i="16"/>
  <c r="H128" i="16"/>
  <c r="B128" i="16"/>
  <c r="K119" i="16"/>
  <c r="H101" i="16"/>
  <c r="G101" i="16"/>
  <c r="A100" i="16"/>
  <c r="B95" i="16"/>
  <c r="B93" i="16"/>
  <c r="B78" i="16"/>
  <c r="E189" i="16" l="1"/>
  <c r="F189" i="16" s="1"/>
  <c r="C189" i="16"/>
  <c r="D189" i="16" s="1"/>
  <c r="A188" i="16"/>
  <c r="J191" i="16"/>
  <c r="E190" i="16"/>
  <c r="F190" i="16" s="1"/>
  <c r="A191" i="16"/>
  <c r="A93" i="16"/>
  <c r="E192" i="16" l="1"/>
  <c r="F192" i="16" s="1"/>
  <c r="C192" i="16"/>
  <c r="D192" i="16" s="1"/>
  <c r="A159" i="16"/>
  <c r="B68" i="16" l="1"/>
  <c r="B67" i="16"/>
  <c r="H62" i="16" l="1"/>
  <c r="A67" i="16"/>
  <c r="I8" i="11"/>
  <c r="I9" i="11"/>
  <c r="I10" i="11"/>
  <c r="I11" i="11"/>
  <c r="I12" i="11"/>
  <c r="I13" i="11"/>
  <c r="I14" i="11"/>
  <c r="I15" i="11"/>
  <c r="I16" i="11"/>
  <c r="I17" i="11"/>
  <c r="I18" i="11"/>
  <c r="I7" i="11"/>
  <c r="E1" i="17" l="1"/>
  <c r="B25" i="17"/>
  <c r="B26" i="17" s="1"/>
  <c r="B27" i="17" s="1"/>
  <c r="B29" i="17" s="1"/>
  <c r="C24" i="17"/>
  <c r="C25" i="17" s="1"/>
  <c r="C26" i="17" s="1"/>
  <c r="C28" i="17" s="1"/>
  <c r="D4" i="17"/>
  <c r="D5" i="17" s="1"/>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43" i="17" s="1"/>
  <c r="D44" i="17" s="1"/>
  <c r="D45" i="17" s="1"/>
  <c r="D46" i="17" s="1"/>
  <c r="D47" i="17" s="1"/>
  <c r="D48" i="17" s="1"/>
  <c r="D49" i="17" s="1"/>
  <c r="C4" i="17"/>
  <c r="C5" i="17" s="1"/>
  <c r="C6" i="17" s="1"/>
  <c r="C7" i="17" s="1"/>
  <c r="C8" i="17" s="1"/>
  <c r="C9" i="17" s="1"/>
  <c r="C10" i="17" s="1"/>
  <c r="C11" i="17" s="1"/>
  <c r="C12" i="17" s="1"/>
  <c r="C13" i="17" s="1"/>
  <c r="C14" i="17" s="1"/>
  <c r="C15" i="17" s="1"/>
  <c r="C16" i="17" s="1"/>
  <c r="C17" i="17" s="1"/>
  <c r="C18" i="17" s="1"/>
  <c r="C19" i="17" s="1"/>
  <c r="C20" i="17" s="1"/>
  <c r="C21" i="17" s="1"/>
  <c r="C22" i="17" s="1"/>
  <c r="B4" i="17"/>
  <c r="B5" i="17" s="1"/>
  <c r="B6" i="17" s="1"/>
  <c r="B7" i="17" s="1"/>
  <c r="B8" i="17" s="1"/>
  <c r="B9" i="17" s="1"/>
  <c r="B10" i="17" s="1"/>
  <c r="B11" i="17" s="1"/>
  <c r="B12" i="17" s="1"/>
  <c r="B13" i="17" s="1"/>
  <c r="B14" i="17" s="1"/>
  <c r="B15" i="17" s="1"/>
  <c r="B16" i="17" s="1"/>
  <c r="B17" i="17" s="1"/>
  <c r="B18" i="17" s="1"/>
  <c r="B19" i="17" s="1"/>
  <c r="B20" i="17" s="1"/>
  <c r="B21" i="17" s="1"/>
  <c r="B22" i="17" s="1"/>
  <c r="B23" i="17" s="1"/>
  <c r="F28" i="17" l="1"/>
  <c r="C29" i="17"/>
  <c r="A29" i="17" s="1"/>
  <c r="B30" i="17"/>
  <c r="B31" i="17" s="1"/>
  <c r="B32" i="17" s="1"/>
  <c r="E27" i="17"/>
  <c r="E18" i="17"/>
  <c r="E11" i="17"/>
  <c r="E4" i="17"/>
  <c r="A4" i="17"/>
  <c r="A12" i="17"/>
  <c r="A20" i="17"/>
  <c r="A28" i="17"/>
  <c r="A10" i="17"/>
  <c r="A27" i="17"/>
  <c r="A5" i="17"/>
  <c r="A13" i="17"/>
  <c r="A21" i="17"/>
  <c r="A24" i="17"/>
  <c r="A18" i="17"/>
  <c r="A11" i="17"/>
  <c r="A6" i="17"/>
  <c r="A14" i="17"/>
  <c r="A22" i="17"/>
  <c r="A16" i="17"/>
  <c r="A7" i="17"/>
  <c r="A15" i="17"/>
  <c r="A23" i="17"/>
  <c r="A8" i="17"/>
  <c r="A26" i="17"/>
  <c r="A3" i="17"/>
  <c r="A19" i="17"/>
  <c r="A9" i="17"/>
  <c r="A17" i="17"/>
  <c r="A25" i="17"/>
  <c r="E26" i="17"/>
  <c r="E3" i="17"/>
  <c r="E19" i="17"/>
  <c r="E25" i="17"/>
  <c r="E17" i="17"/>
  <c r="E9" i="17"/>
  <c r="E24" i="17"/>
  <c r="E16" i="17"/>
  <c r="E8" i="17"/>
  <c r="E23" i="17"/>
  <c r="E15" i="17"/>
  <c r="E7" i="17"/>
  <c r="E10" i="17"/>
  <c r="E22" i="17"/>
  <c r="E14" i="17"/>
  <c r="E6" i="17"/>
  <c r="E29" i="17"/>
  <c r="E21" i="17"/>
  <c r="E13" i="17"/>
  <c r="E5" i="17"/>
  <c r="E28" i="17"/>
  <c r="E20" i="17"/>
  <c r="E12" i="17"/>
  <c r="O12" i="16"/>
  <c r="B33" i="17" l="1"/>
  <c r="F29" i="17"/>
  <c r="C30" i="17"/>
  <c r="F30" i="17" l="1"/>
  <c r="C31" i="17"/>
  <c r="A30" i="17"/>
  <c r="E30" i="17"/>
  <c r="B34" i="17"/>
  <c r="K307" i="16"/>
  <c r="C42" i="16"/>
  <c r="A318" i="16"/>
  <c r="B49" i="16"/>
  <c r="F49" i="16" s="1"/>
  <c r="B42" i="16"/>
  <c r="B52" i="16" s="1"/>
  <c r="O14" i="16"/>
  <c r="C32" i="17" l="1"/>
  <c r="F31" i="17"/>
  <c r="A31" i="17"/>
  <c r="E31" i="17"/>
  <c r="B35" i="17"/>
  <c r="C52" i="16"/>
  <c r="A126" i="16"/>
  <c r="E144" i="16"/>
  <c r="F144" i="16" s="1"/>
  <c r="C178" i="16"/>
  <c r="D178" i="16" s="1"/>
  <c r="H42" i="16"/>
  <c r="G287" i="11"/>
  <c r="H287" i="11" s="1"/>
  <c r="K352" i="15" s="1"/>
  <c r="K351" i="15"/>
  <c r="I353" i="15"/>
  <c r="I352" i="15"/>
  <c r="B36" i="17" l="1"/>
  <c r="F32" i="17"/>
  <c r="C33" i="17"/>
  <c r="A32" i="17"/>
  <c r="E32" i="17"/>
  <c r="C144" i="16"/>
  <c r="D144" i="16" s="1"/>
  <c r="H86" i="16"/>
  <c r="L352" i="15"/>
  <c r="J351" i="15"/>
  <c r="M351" i="15" s="1"/>
  <c r="E178" i="16"/>
  <c r="F178" i="16" s="1"/>
  <c r="D42" i="16"/>
  <c r="G51" i="16"/>
  <c r="B37" i="17" l="1"/>
  <c r="F33" i="17"/>
  <c r="C34" i="17"/>
  <c r="E33" i="17"/>
  <c r="A33" i="17"/>
  <c r="J85" i="16"/>
  <c r="G86" i="16"/>
  <c r="J352" i="15"/>
  <c r="M352" i="15" s="1"/>
  <c r="N352" i="15" s="1"/>
  <c r="H51" i="16"/>
  <c r="C181" i="16"/>
  <c r="D181" i="16" s="1"/>
  <c r="E181" i="16"/>
  <c r="F181" i="16" s="1"/>
  <c r="F34" i="17" l="1"/>
  <c r="A34" i="17"/>
  <c r="E34" i="17"/>
  <c r="C35" i="17"/>
  <c r="B38" i="17"/>
  <c r="A85" i="16"/>
  <c r="B117" i="16"/>
  <c r="A117" i="16"/>
  <c r="A50" i="16"/>
  <c r="D312" i="11"/>
  <c r="C312" i="11"/>
  <c r="D311" i="7"/>
  <c r="C311" i="7"/>
  <c r="B39" i="17" l="1"/>
  <c r="C36" i="17"/>
  <c r="F35" i="17"/>
  <c r="A35" i="17"/>
  <c r="E35" i="17"/>
  <c r="C37" i="17" l="1"/>
  <c r="F36" i="17"/>
  <c r="A36" i="17"/>
  <c r="E36" i="17"/>
  <c r="B40" i="17"/>
  <c r="D311" i="11"/>
  <c r="C311" i="11"/>
  <c r="D310" i="11"/>
  <c r="C310" i="11"/>
  <c r="D309" i="11"/>
  <c r="C309" i="11"/>
  <c r="D308" i="11"/>
  <c r="C308" i="11"/>
  <c r="D307" i="11"/>
  <c r="C307" i="11"/>
  <c r="D306" i="11"/>
  <c r="C306" i="11"/>
  <c r="D305" i="11"/>
  <c r="C305" i="11"/>
  <c r="D304" i="11"/>
  <c r="C304" i="11"/>
  <c r="D303" i="11"/>
  <c r="C303" i="11"/>
  <c r="D302" i="11"/>
  <c r="C302" i="11"/>
  <c r="D301" i="11"/>
  <c r="C301" i="11"/>
  <c r="D300" i="11"/>
  <c r="C300" i="11"/>
  <c r="D299" i="11"/>
  <c r="C299" i="11"/>
  <c r="D298" i="11"/>
  <c r="C298" i="11"/>
  <c r="D297" i="11"/>
  <c r="C297" i="11"/>
  <c r="D296" i="11"/>
  <c r="C296" i="11"/>
  <c r="D295" i="11"/>
  <c r="C295" i="11"/>
  <c r="D294" i="11"/>
  <c r="C294" i="11"/>
  <c r="D293" i="11"/>
  <c r="C293" i="11"/>
  <c r="D292" i="11"/>
  <c r="C292" i="11"/>
  <c r="D291" i="11"/>
  <c r="C291" i="11"/>
  <c r="D290" i="11"/>
  <c r="C290" i="11"/>
  <c r="D289" i="11"/>
  <c r="C289" i="11"/>
  <c r="D288" i="11"/>
  <c r="C288" i="11"/>
  <c r="D287" i="11"/>
  <c r="C287" i="11"/>
  <c r="D286" i="11"/>
  <c r="C286" i="11"/>
  <c r="D285" i="11"/>
  <c r="C285" i="11"/>
  <c r="D284" i="11"/>
  <c r="C284" i="11"/>
  <c r="D283" i="11"/>
  <c r="C283" i="11"/>
  <c r="D282" i="11"/>
  <c r="C282" i="11"/>
  <c r="D281" i="11"/>
  <c r="C281" i="11"/>
  <c r="D280" i="11"/>
  <c r="C280" i="11"/>
  <c r="D279" i="11"/>
  <c r="C279" i="11"/>
  <c r="D278" i="11"/>
  <c r="C278" i="11"/>
  <c r="D277" i="11"/>
  <c r="C277" i="11"/>
  <c r="D276" i="11"/>
  <c r="C276" i="11"/>
  <c r="D275" i="11"/>
  <c r="C275" i="11"/>
  <c r="D274" i="11"/>
  <c r="C274" i="11"/>
  <c r="D273" i="11"/>
  <c r="C273" i="11"/>
  <c r="D272" i="11"/>
  <c r="C272" i="11"/>
  <c r="D271" i="11"/>
  <c r="C271" i="11"/>
  <c r="D270" i="11"/>
  <c r="C270" i="11"/>
  <c r="D269" i="11"/>
  <c r="C269" i="11"/>
  <c r="D268" i="11"/>
  <c r="C268" i="11"/>
  <c r="D267" i="11"/>
  <c r="C267" i="11"/>
  <c r="D266" i="11"/>
  <c r="C266" i="11"/>
  <c r="D265" i="11"/>
  <c r="C265" i="11"/>
  <c r="D264" i="11"/>
  <c r="C264" i="11"/>
  <c r="D263" i="11"/>
  <c r="C263" i="11"/>
  <c r="D262" i="11"/>
  <c r="C262" i="11"/>
  <c r="D261" i="11"/>
  <c r="C261" i="11"/>
  <c r="D260" i="11"/>
  <c r="C260" i="11"/>
  <c r="D259" i="11"/>
  <c r="C259" i="11"/>
  <c r="D258" i="11"/>
  <c r="C258" i="11"/>
  <c r="D257" i="11"/>
  <c r="C257" i="11"/>
  <c r="D256" i="11"/>
  <c r="C256" i="11"/>
  <c r="D255" i="11"/>
  <c r="C255" i="11"/>
  <c r="D254" i="11"/>
  <c r="C254" i="11"/>
  <c r="D253" i="11"/>
  <c r="C253" i="11"/>
  <c r="D252" i="11"/>
  <c r="C252" i="11"/>
  <c r="D251" i="11"/>
  <c r="C251" i="11"/>
  <c r="D250" i="11"/>
  <c r="C250" i="11"/>
  <c r="D249" i="11"/>
  <c r="C249" i="11"/>
  <c r="D248" i="11"/>
  <c r="C248" i="11"/>
  <c r="D247" i="11"/>
  <c r="C247" i="11"/>
  <c r="D246" i="11"/>
  <c r="C246" i="11"/>
  <c r="D245" i="11"/>
  <c r="C245" i="11"/>
  <c r="D244" i="11"/>
  <c r="C244" i="11"/>
  <c r="D243" i="11"/>
  <c r="C243" i="11"/>
  <c r="D242" i="11"/>
  <c r="C242" i="11"/>
  <c r="D241" i="11"/>
  <c r="C241" i="11"/>
  <c r="D240" i="11"/>
  <c r="C240" i="11"/>
  <c r="D239" i="11"/>
  <c r="C239" i="11"/>
  <c r="D238" i="11"/>
  <c r="C238" i="11"/>
  <c r="D237" i="11"/>
  <c r="C237" i="11"/>
  <c r="D236" i="11"/>
  <c r="C236" i="11"/>
  <c r="D235" i="11"/>
  <c r="C235" i="11"/>
  <c r="D234" i="11"/>
  <c r="C234" i="11"/>
  <c r="D233" i="11"/>
  <c r="C233" i="11"/>
  <c r="D232" i="11"/>
  <c r="C232" i="11"/>
  <c r="D231" i="11"/>
  <c r="C231" i="11"/>
  <c r="D230" i="11"/>
  <c r="C230" i="11"/>
  <c r="D229" i="11"/>
  <c r="C229" i="11"/>
  <c r="D228" i="11"/>
  <c r="C228" i="11"/>
  <c r="D227" i="11"/>
  <c r="C227" i="11"/>
  <c r="D226" i="11"/>
  <c r="C226" i="11"/>
  <c r="D225" i="11"/>
  <c r="C225" i="11"/>
  <c r="D224" i="11"/>
  <c r="C224" i="11"/>
  <c r="D223" i="11"/>
  <c r="C223" i="11"/>
  <c r="D222" i="11"/>
  <c r="C222" i="11"/>
  <c r="D221" i="11"/>
  <c r="C221" i="11"/>
  <c r="D220" i="11"/>
  <c r="C220" i="11"/>
  <c r="D219" i="11"/>
  <c r="C219" i="11"/>
  <c r="D218" i="11"/>
  <c r="C218" i="11"/>
  <c r="D217" i="11"/>
  <c r="C217" i="11"/>
  <c r="D216" i="11"/>
  <c r="C216" i="11"/>
  <c r="D215" i="11"/>
  <c r="C215" i="11"/>
  <c r="D214" i="11"/>
  <c r="C214" i="11"/>
  <c r="D213" i="11"/>
  <c r="C213" i="11"/>
  <c r="D212" i="11"/>
  <c r="C212" i="11"/>
  <c r="D211" i="11"/>
  <c r="C211" i="11"/>
  <c r="D210" i="11"/>
  <c r="C210" i="11"/>
  <c r="D209" i="11"/>
  <c r="C209" i="11"/>
  <c r="D208" i="11"/>
  <c r="C208" i="11"/>
  <c r="D207" i="11"/>
  <c r="C207" i="11"/>
  <c r="D206" i="11"/>
  <c r="C206" i="11"/>
  <c r="D205" i="11"/>
  <c r="C205" i="11"/>
  <c r="D204" i="11"/>
  <c r="C204" i="11"/>
  <c r="D203" i="11"/>
  <c r="C203" i="11"/>
  <c r="D202" i="11"/>
  <c r="C202" i="11"/>
  <c r="D201" i="11"/>
  <c r="C201" i="11"/>
  <c r="D200" i="11"/>
  <c r="C200" i="11"/>
  <c r="D199" i="11"/>
  <c r="C199" i="11"/>
  <c r="D198" i="11"/>
  <c r="C198" i="11"/>
  <c r="D197" i="11"/>
  <c r="C197" i="11"/>
  <c r="D196" i="11"/>
  <c r="C196" i="11"/>
  <c r="D195" i="11"/>
  <c r="C195" i="11"/>
  <c r="D194" i="11"/>
  <c r="C194" i="11"/>
  <c r="D193" i="11"/>
  <c r="C193" i="11"/>
  <c r="D192" i="11"/>
  <c r="C192" i="11"/>
  <c r="D191" i="11"/>
  <c r="C191" i="11"/>
  <c r="D190" i="11"/>
  <c r="C190" i="11"/>
  <c r="D189" i="11"/>
  <c r="C189" i="11"/>
  <c r="D188" i="11"/>
  <c r="C188" i="11"/>
  <c r="D187" i="11"/>
  <c r="C187" i="11"/>
  <c r="D186" i="11"/>
  <c r="C186" i="11"/>
  <c r="D185" i="11"/>
  <c r="C185" i="11"/>
  <c r="D184" i="11"/>
  <c r="C184" i="11"/>
  <c r="D183" i="11"/>
  <c r="C183" i="11"/>
  <c r="D182" i="11"/>
  <c r="C182" i="11"/>
  <c r="D181" i="11"/>
  <c r="C181" i="11"/>
  <c r="D180" i="11"/>
  <c r="C180" i="11"/>
  <c r="D179" i="11"/>
  <c r="C179" i="11"/>
  <c r="D178" i="11"/>
  <c r="C178" i="11"/>
  <c r="D177" i="11"/>
  <c r="C177" i="11"/>
  <c r="D176" i="11"/>
  <c r="C176" i="11"/>
  <c r="D175" i="11"/>
  <c r="C175" i="11"/>
  <c r="D174" i="11"/>
  <c r="C174" i="11"/>
  <c r="D173" i="11"/>
  <c r="C173" i="11"/>
  <c r="D172" i="11"/>
  <c r="C172" i="11"/>
  <c r="D171" i="11"/>
  <c r="C171" i="11"/>
  <c r="D170" i="11"/>
  <c r="C170" i="11"/>
  <c r="D169" i="11"/>
  <c r="C169" i="11"/>
  <c r="D168" i="11"/>
  <c r="C168" i="11"/>
  <c r="D167" i="11"/>
  <c r="C167" i="11"/>
  <c r="D166" i="11"/>
  <c r="C166" i="11"/>
  <c r="D165" i="11"/>
  <c r="C165" i="11"/>
  <c r="D164" i="11"/>
  <c r="C164" i="11"/>
  <c r="D163" i="11"/>
  <c r="C163" i="11"/>
  <c r="D162" i="11"/>
  <c r="C162" i="11"/>
  <c r="D161" i="11"/>
  <c r="C161" i="11"/>
  <c r="D160" i="11"/>
  <c r="C160" i="11"/>
  <c r="D159" i="11"/>
  <c r="C159" i="11"/>
  <c r="D158" i="11"/>
  <c r="C158" i="11"/>
  <c r="D157" i="11"/>
  <c r="C157" i="11"/>
  <c r="D156" i="11"/>
  <c r="C156" i="11"/>
  <c r="D155" i="11"/>
  <c r="C155" i="11"/>
  <c r="D154" i="11"/>
  <c r="C154" i="11"/>
  <c r="D153" i="11"/>
  <c r="C153" i="11"/>
  <c r="D152" i="11"/>
  <c r="C152" i="11"/>
  <c r="D151" i="11"/>
  <c r="C151" i="11"/>
  <c r="D150" i="11"/>
  <c r="C150" i="11"/>
  <c r="D149" i="11"/>
  <c r="C149" i="11"/>
  <c r="D148" i="11"/>
  <c r="C148" i="11"/>
  <c r="D147" i="11"/>
  <c r="C147" i="11"/>
  <c r="D146" i="11"/>
  <c r="C146" i="11"/>
  <c r="D145" i="11"/>
  <c r="C145" i="11"/>
  <c r="D144" i="11"/>
  <c r="C144" i="11"/>
  <c r="D143" i="11"/>
  <c r="C143" i="11"/>
  <c r="D142" i="11"/>
  <c r="C142" i="11"/>
  <c r="D141" i="11"/>
  <c r="C141" i="11"/>
  <c r="D140" i="11"/>
  <c r="C140" i="11"/>
  <c r="D139" i="11"/>
  <c r="C139" i="11"/>
  <c r="D138" i="11"/>
  <c r="C138" i="11"/>
  <c r="D137" i="11"/>
  <c r="C137" i="11"/>
  <c r="D136" i="11"/>
  <c r="C136" i="11"/>
  <c r="D135" i="11"/>
  <c r="C135" i="11"/>
  <c r="D134" i="11"/>
  <c r="C134" i="11"/>
  <c r="D133" i="11"/>
  <c r="C133" i="11"/>
  <c r="D132" i="11"/>
  <c r="C132" i="11"/>
  <c r="D131" i="11"/>
  <c r="C131" i="11"/>
  <c r="D130" i="11"/>
  <c r="C130" i="11"/>
  <c r="D129" i="11"/>
  <c r="C129" i="11"/>
  <c r="D128" i="11"/>
  <c r="C128" i="11"/>
  <c r="D127" i="11"/>
  <c r="C127" i="11"/>
  <c r="D126" i="11"/>
  <c r="C126" i="11"/>
  <c r="D125" i="11"/>
  <c r="C125" i="11"/>
  <c r="D124" i="11"/>
  <c r="C124" i="11"/>
  <c r="D123" i="11"/>
  <c r="C123" i="11"/>
  <c r="D122" i="11"/>
  <c r="C122" i="11"/>
  <c r="D121" i="11"/>
  <c r="C121" i="11"/>
  <c r="D120" i="11"/>
  <c r="C120" i="11"/>
  <c r="D119" i="11"/>
  <c r="C119" i="11"/>
  <c r="D118" i="11"/>
  <c r="C118" i="11"/>
  <c r="D117" i="11"/>
  <c r="C117" i="11"/>
  <c r="D116" i="11"/>
  <c r="C116" i="11"/>
  <c r="D115" i="11"/>
  <c r="C115" i="11"/>
  <c r="D114" i="11"/>
  <c r="C114" i="11"/>
  <c r="D113" i="11"/>
  <c r="C113" i="11"/>
  <c r="D112" i="11"/>
  <c r="C112" i="11"/>
  <c r="D111" i="11"/>
  <c r="C111" i="11"/>
  <c r="D110" i="11"/>
  <c r="C110" i="11"/>
  <c r="D109" i="11"/>
  <c r="C109" i="11"/>
  <c r="D108" i="11"/>
  <c r="C108" i="11"/>
  <c r="D107" i="11"/>
  <c r="C107" i="11"/>
  <c r="D106" i="11"/>
  <c r="C106" i="11"/>
  <c r="D105" i="11"/>
  <c r="C105" i="11"/>
  <c r="D104" i="11"/>
  <c r="C104" i="11"/>
  <c r="D103" i="11"/>
  <c r="C103" i="11"/>
  <c r="D102" i="11"/>
  <c r="C102" i="11"/>
  <c r="D101" i="11"/>
  <c r="C101" i="11"/>
  <c r="D100" i="11"/>
  <c r="C100" i="11"/>
  <c r="D99" i="11"/>
  <c r="C99" i="11"/>
  <c r="D98" i="11"/>
  <c r="C98" i="11"/>
  <c r="D97" i="11"/>
  <c r="C97" i="11"/>
  <c r="D96" i="11"/>
  <c r="C96" i="11"/>
  <c r="D95" i="11"/>
  <c r="C95" i="11"/>
  <c r="D94" i="11"/>
  <c r="C94" i="11"/>
  <c r="D93" i="11"/>
  <c r="C93" i="11"/>
  <c r="D92" i="11"/>
  <c r="C92" i="11"/>
  <c r="D91" i="11"/>
  <c r="C91" i="11"/>
  <c r="D90" i="11"/>
  <c r="C90" i="11"/>
  <c r="D89" i="11"/>
  <c r="C89" i="11"/>
  <c r="D88" i="11"/>
  <c r="C88" i="11"/>
  <c r="D87" i="11"/>
  <c r="C87" i="11"/>
  <c r="D86" i="11"/>
  <c r="C86" i="11"/>
  <c r="D85" i="11"/>
  <c r="C85" i="11"/>
  <c r="D84" i="11"/>
  <c r="C84" i="11"/>
  <c r="D83" i="11"/>
  <c r="C83" i="11"/>
  <c r="D82" i="11"/>
  <c r="C82" i="11"/>
  <c r="D81" i="11"/>
  <c r="C81" i="11"/>
  <c r="D80" i="11"/>
  <c r="C80" i="11"/>
  <c r="D79" i="11"/>
  <c r="C79" i="11"/>
  <c r="D78" i="11"/>
  <c r="C78" i="11"/>
  <c r="D77" i="11"/>
  <c r="C77" i="11"/>
  <c r="D76" i="11"/>
  <c r="C76" i="11"/>
  <c r="D75" i="11"/>
  <c r="C75" i="11"/>
  <c r="D74" i="11"/>
  <c r="C74" i="11"/>
  <c r="D73" i="11"/>
  <c r="C73" i="11"/>
  <c r="D72" i="11"/>
  <c r="C72" i="11"/>
  <c r="D71" i="11"/>
  <c r="C71" i="11"/>
  <c r="D70" i="11"/>
  <c r="C70" i="11"/>
  <c r="D69" i="11"/>
  <c r="C69" i="11"/>
  <c r="D68" i="11"/>
  <c r="C68" i="11"/>
  <c r="D67" i="11"/>
  <c r="C67" i="11"/>
  <c r="D66" i="11"/>
  <c r="C66" i="11"/>
  <c r="D65" i="11"/>
  <c r="C65" i="11"/>
  <c r="D64" i="11"/>
  <c r="C64" i="11"/>
  <c r="D63" i="11"/>
  <c r="C63" i="11"/>
  <c r="D62" i="11"/>
  <c r="C62" i="11"/>
  <c r="D61" i="11"/>
  <c r="C61" i="11"/>
  <c r="D60" i="11"/>
  <c r="C60" i="11"/>
  <c r="D59" i="11"/>
  <c r="C59" i="11"/>
  <c r="D58" i="11"/>
  <c r="C58" i="11"/>
  <c r="D57" i="11"/>
  <c r="C57" i="11"/>
  <c r="D56" i="11"/>
  <c r="C56" i="11"/>
  <c r="D55" i="11"/>
  <c r="C55" i="11"/>
  <c r="D54" i="11"/>
  <c r="C54" i="11"/>
  <c r="D53" i="11"/>
  <c r="C53" i="11"/>
  <c r="D52" i="11"/>
  <c r="C52" i="11"/>
  <c r="D51" i="11"/>
  <c r="C51" i="11"/>
  <c r="D50" i="11"/>
  <c r="C50" i="11"/>
  <c r="D49" i="11"/>
  <c r="C49" i="11"/>
  <c r="D48" i="11"/>
  <c r="C48" i="11"/>
  <c r="D47" i="11"/>
  <c r="C47" i="11"/>
  <c r="D46" i="11"/>
  <c r="C46" i="11"/>
  <c r="D45" i="11"/>
  <c r="C45" i="11"/>
  <c r="D44" i="11"/>
  <c r="C44" i="11"/>
  <c r="D310" i="7"/>
  <c r="D309" i="7"/>
  <c r="D308" i="7"/>
  <c r="D307" i="7"/>
  <c r="D306" i="7"/>
  <c r="D305" i="7"/>
  <c r="D304" i="7"/>
  <c r="D303" i="7"/>
  <c r="D302" i="7"/>
  <c r="D301" i="7"/>
  <c r="D300" i="7"/>
  <c r="D299" i="7"/>
  <c r="D298" i="7"/>
  <c r="D297" i="7"/>
  <c r="D296" i="7"/>
  <c r="D295" i="7"/>
  <c r="D294" i="7"/>
  <c r="D293" i="7"/>
  <c r="D292" i="7"/>
  <c r="D291" i="7"/>
  <c r="D290" i="7"/>
  <c r="D289" i="7"/>
  <c r="D288" i="7"/>
  <c r="D287" i="7"/>
  <c r="D286" i="7"/>
  <c r="D285" i="7"/>
  <c r="D284" i="7"/>
  <c r="D283" i="7"/>
  <c r="D282" i="7"/>
  <c r="D281" i="7"/>
  <c r="D280" i="7"/>
  <c r="D279" i="7"/>
  <c r="D278" i="7"/>
  <c r="D277"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B41" i="17" l="1"/>
  <c r="C38" i="17"/>
  <c r="F37" i="17"/>
  <c r="A37" i="17"/>
  <c r="E37" i="17"/>
  <c r="F38" i="17" l="1"/>
  <c r="A38" i="17"/>
  <c r="E38" i="17"/>
  <c r="C39" i="17"/>
  <c r="B42" i="17"/>
  <c r="B43" i="17" l="1"/>
  <c r="C40" i="17"/>
  <c r="F39" i="17"/>
  <c r="E39" i="17"/>
  <c r="A39" i="17"/>
  <c r="C41" i="17" l="1"/>
  <c r="F40" i="17"/>
  <c r="E40" i="17"/>
  <c r="A40" i="17"/>
  <c r="B44" i="17"/>
  <c r="B45" i="17" l="1"/>
  <c r="F41" i="17"/>
  <c r="C42" i="17"/>
  <c r="A41" i="17"/>
  <c r="E41" i="17"/>
  <c r="B45" i="16"/>
  <c r="B46" i="17" l="1"/>
  <c r="F42" i="17"/>
  <c r="A42" i="17"/>
  <c r="E42" i="17"/>
  <c r="C43" i="17"/>
  <c r="C44" i="17" l="1"/>
  <c r="F43" i="17"/>
  <c r="E43" i="17"/>
  <c r="A43" i="17"/>
  <c r="B47" i="17"/>
  <c r="H112" i="16"/>
  <c r="B80" i="16"/>
  <c r="B48" i="17" l="1"/>
  <c r="C45" i="17"/>
  <c r="F44" i="17"/>
  <c r="A44" i="17"/>
  <c r="E44" i="17"/>
  <c r="H182" i="16"/>
  <c r="H145" i="16"/>
  <c r="C46" i="17" l="1"/>
  <c r="F45" i="17"/>
  <c r="A45" i="17"/>
  <c r="E45" i="17"/>
  <c r="B49" i="17"/>
  <c r="C47" i="17" l="1"/>
  <c r="F46" i="17"/>
  <c r="A46" i="17"/>
  <c r="E46" i="17"/>
  <c r="I189" i="16"/>
  <c r="I193" i="16" s="1"/>
  <c r="C48" i="17" l="1"/>
  <c r="F47" i="17"/>
  <c r="E47" i="17"/>
  <c r="A47" i="17"/>
  <c r="B112" i="16"/>
  <c r="C49" i="17" l="1"/>
  <c r="F48" i="17"/>
  <c r="A48" i="17"/>
  <c r="E48" i="17"/>
  <c r="B118" i="16"/>
  <c r="F49" i="17" l="1"/>
  <c r="A49" i="17"/>
  <c r="E49" i="17"/>
  <c r="K28" i="16" l="1"/>
  <c r="K27" i="16"/>
  <c r="L27" i="16"/>
  <c r="E176" i="16" l="1"/>
  <c r="E199" i="16"/>
  <c r="E42" i="16"/>
  <c r="H189" i="16"/>
  <c r="H193" i="16" s="1"/>
  <c r="G43" i="16" l="1"/>
  <c r="E43" i="16"/>
  <c r="H49" i="16"/>
  <c r="G49" i="16" s="1"/>
  <c r="I49" i="16" s="1"/>
  <c r="K50" i="16"/>
  <c r="F43" i="16"/>
  <c r="D52" i="16"/>
  <c r="F42" i="16"/>
  <c r="K207" i="16"/>
  <c r="F200" i="16"/>
  <c r="G200" i="16"/>
  <c r="E200" i="16"/>
  <c r="H206" i="16"/>
  <c r="F199" i="16"/>
  <c r="D209" i="16"/>
  <c r="E209" i="16" s="1"/>
  <c r="E179" i="16"/>
  <c r="C187" i="16"/>
  <c r="G177" i="16"/>
  <c r="F176" i="16"/>
  <c r="G52" i="16" l="1"/>
  <c r="I52" i="16" s="1"/>
  <c r="G42" i="16"/>
  <c r="I42" i="16"/>
  <c r="E52" i="16"/>
  <c r="F52" i="16" s="1"/>
  <c r="H52" i="16"/>
  <c r="J52" i="16" s="1"/>
  <c r="C216" i="16"/>
  <c r="E216" i="16" s="1"/>
  <c r="J206" i="16"/>
  <c r="C59" i="16"/>
  <c r="J49" i="16"/>
  <c r="K49" i="16" s="1"/>
  <c r="K51" i="16" s="1"/>
  <c r="I177" i="16"/>
  <c r="J177" i="16" s="1"/>
  <c r="A177" i="16"/>
  <c r="C190" i="16"/>
  <c r="D190" i="16" s="1"/>
  <c r="D187" i="16"/>
  <c r="I200" i="16"/>
  <c r="J200" i="16" s="1"/>
  <c r="A200" i="16"/>
  <c r="G180" i="16"/>
  <c r="F179" i="16"/>
  <c r="I43" i="16"/>
  <c r="J43" i="16" s="1"/>
  <c r="C43" i="16"/>
  <c r="D43" i="16" s="1"/>
  <c r="A43" i="16"/>
  <c r="D59" i="16" l="1"/>
  <c r="I66" i="16" s="1"/>
  <c r="G66" i="16"/>
  <c r="D216" i="16"/>
  <c r="I223" i="16" s="1"/>
  <c r="G223" i="16"/>
  <c r="K52" i="16"/>
  <c r="K53" i="16" s="1"/>
  <c r="B66" i="16" s="1"/>
  <c r="F66" i="16" s="1"/>
  <c r="E59" i="16"/>
  <c r="I44" i="16"/>
  <c r="I45" i="16" s="1"/>
  <c r="H59" i="16" s="1"/>
  <c r="J180" i="16"/>
  <c r="A180" i="16"/>
  <c r="F216" i="16"/>
  <c r="J223" i="16" s="1"/>
  <c r="C234" i="16"/>
  <c r="G217" i="16"/>
  <c r="H223" i="16"/>
  <c r="D226" i="16"/>
  <c r="H226" i="16" s="1"/>
  <c r="J226" i="16" s="1"/>
  <c r="G44" i="16"/>
  <c r="G45" i="16" s="1"/>
  <c r="J42" i="16"/>
  <c r="J44" i="16" l="1"/>
  <c r="J45" i="16" s="1"/>
  <c r="A217" i="16"/>
  <c r="J217" i="16"/>
  <c r="G60" i="16"/>
  <c r="F59" i="16"/>
  <c r="J66" i="16" s="1"/>
  <c r="K66" i="16" s="1"/>
  <c r="K68" i="16" s="1"/>
  <c r="D69" i="16"/>
  <c r="H69" i="16" s="1"/>
  <c r="H66" i="16"/>
  <c r="C235" i="16"/>
  <c r="D235" i="16" s="1"/>
  <c r="G241" i="16"/>
  <c r="E234" i="16"/>
  <c r="D234" i="16"/>
  <c r="B59" i="16"/>
  <c r="B77" i="16"/>
  <c r="I59" i="16" l="1"/>
  <c r="I62" i="16" s="1"/>
  <c r="H77" i="16" s="1"/>
  <c r="C77" i="16"/>
  <c r="J69" i="16"/>
  <c r="G59" i="16"/>
  <c r="J60" i="16"/>
  <c r="A60" i="16"/>
  <c r="H241" i="16"/>
  <c r="E235" i="16"/>
  <c r="K242" i="16"/>
  <c r="G235" i="16"/>
  <c r="F234" i="16"/>
  <c r="F235" i="16"/>
  <c r="I241" i="16"/>
  <c r="B61" i="16" l="1"/>
  <c r="B62" i="16" s="1"/>
  <c r="B69" i="16" s="1"/>
  <c r="C251" i="16"/>
  <c r="J241" i="16"/>
  <c r="C69" i="16"/>
  <c r="J59" i="16"/>
  <c r="J61" i="16" s="1"/>
  <c r="J62" i="16" s="1"/>
  <c r="G61" i="16"/>
  <c r="G62" i="16" s="1"/>
  <c r="E77" i="16"/>
  <c r="G84" i="16"/>
  <c r="I84" i="16" s="1"/>
  <c r="D77" i="16"/>
  <c r="I235" i="16"/>
  <c r="J235" i="16" s="1"/>
  <c r="A235" i="16"/>
  <c r="C92" i="16" l="1"/>
  <c r="H84" i="16"/>
  <c r="J84" i="16" s="1"/>
  <c r="F77" i="16"/>
  <c r="I77" i="16" s="1"/>
  <c r="G78" i="16"/>
  <c r="K85" i="16"/>
  <c r="D251" i="16"/>
  <c r="I258" i="16" s="1"/>
  <c r="G258" i="16"/>
  <c r="E69" i="16"/>
  <c r="F69" i="16" s="1"/>
  <c r="G69" i="16"/>
  <c r="I69" i="16" s="1"/>
  <c r="E251" i="16"/>
  <c r="H109" i="16" l="1"/>
  <c r="A78" i="16"/>
  <c r="I78" i="16"/>
  <c r="J78" i="16" s="1"/>
  <c r="E78" i="16"/>
  <c r="F78" i="16" s="1"/>
  <c r="E92" i="16"/>
  <c r="K69" i="16"/>
  <c r="K70" i="16" s="1"/>
  <c r="B84" i="16" s="1"/>
  <c r="F84" i="16" s="1"/>
  <c r="K84" i="16" s="1"/>
  <c r="K86" i="16" s="1"/>
  <c r="G99" i="16"/>
  <c r="I99" i="16" s="1"/>
  <c r="D92" i="16"/>
  <c r="G77" i="16"/>
  <c r="F251" i="16"/>
  <c r="J258" i="16" s="1"/>
  <c r="G252" i="16"/>
  <c r="H258" i="16"/>
  <c r="K87" i="16" l="1"/>
  <c r="B99" i="16"/>
  <c r="F99" i="16" s="1"/>
  <c r="A252" i="16"/>
  <c r="J252" i="16"/>
  <c r="J77" i="16"/>
  <c r="G79" i="16"/>
  <c r="C268" i="16"/>
  <c r="E268" i="16" s="1"/>
  <c r="F92" i="16"/>
  <c r="H99" i="16"/>
  <c r="I79" i="16"/>
  <c r="J79" i="16" l="1"/>
  <c r="J80" i="16" s="1"/>
  <c r="G80" i="16"/>
  <c r="B92" i="16" s="1"/>
  <c r="G92" i="16" s="1"/>
  <c r="I80" i="16"/>
  <c r="H92" i="16"/>
  <c r="I92" i="16" s="1"/>
  <c r="I94" i="16" s="1"/>
  <c r="I95" i="16" s="1"/>
  <c r="C109" i="16"/>
  <c r="J99" i="16"/>
  <c r="K99" i="16" s="1"/>
  <c r="K101" i="16" s="1"/>
  <c r="K102" i="16" s="1"/>
  <c r="B116" i="16" s="1"/>
  <c r="F116" i="16" s="1"/>
  <c r="D278" i="16"/>
  <c r="H275" i="16"/>
  <c r="E269" i="16"/>
  <c r="G269" i="16"/>
  <c r="F269" i="16"/>
  <c r="F268" i="16"/>
  <c r="K276" i="16"/>
  <c r="F101" i="16"/>
  <c r="B101" i="16" s="1"/>
  <c r="G275" i="16"/>
  <c r="I275" i="16" s="1"/>
  <c r="C269" i="16"/>
  <c r="D269" i="16" s="1"/>
  <c r="C278" i="16"/>
  <c r="D268" i="16"/>
  <c r="H209" i="16"/>
  <c r="J209" i="16" s="1"/>
  <c r="G209" i="16"/>
  <c r="I209" i="16" s="1"/>
  <c r="E109" i="16" l="1"/>
  <c r="C119" i="16"/>
  <c r="G116" i="16"/>
  <c r="G119" i="16" s="1"/>
  <c r="D109" i="16"/>
  <c r="J275" i="16"/>
  <c r="C285" i="16"/>
  <c r="E278" i="16"/>
  <c r="H278" i="16"/>
  <c r="J278" i="16" s="1"/>
  <c r="G278" i="16"/>
  <c r="I278" i="16" s="1"/>
  <c r="A269" i="16"/>
  <c r="I269" i="16"/>
  <c r="J269" i="16" s="1"/>
  <c r="G94" i="16"/>
  <c r="G95" i="16" s="1"/>
  <c r="B109" i="16" s="1"/>
  <c r="J92" i="16"/>
  <c r="J94" i="16" s="1"/>
  <c r="J95" i="16" s="1"/>
  <c r="C295" i="16" l="1"/>
  <c r="D285" i="16"/>
  <c r="I292" i="16" s="1"/>
  <c r="G292" i="16"/>
  <c r="E285" i="16"/>
  <c r="I116" i="16"/>
  <c r="I119" i="16"/>
  <c r="K117" i="16"/>
  <c r="H116" i="16"/>
  <c r="H119" i="16" s="1"/>
  <c r="J119" i="16" s="1"/>
  <c r="F109" i="16"/>
  <c r="J116" i="16" s="1"/>
  <c r="C125" i="16"/>
  <c r="D119" i="16"/>
  <c r="G110" i="16"/>
  <c r="B41" i="18"/>
  <c r="G109" i="16" l="1"/>
  <c r="G111" i="16" s="1"/>
  <c r="G112" i="16" s="1"/>
  <c r="B125" i="16" s="1"/>
  <c r="G295" i="16"/>
  <c r="I295" i="16" s="1"/>
  <c r="I110" i="16"/>
  <c r="J110" i="16" s="1"/>
  <c r="A110" i="16"/>
  <c r="I109" i="16"/>
  <c r="K116" i="16"/>
  <c r="K118" i="16" s="1"/>
  <c r="K120" i="16" s="1"/>
  <c r="B132" i="16" s="1"/>
  <c r="F132" i="16" s="1"/>
  <c r="G132" i="16"/>
  <c r="D125" i="16"/>
  <c r="I132" i="16" s="1"/>
  <c r="F285" i="16"/>
  <c r="J292" i="16" s="1"/>
  <c r="H292" i="16"/>
  <c r="G286" i="16"/>
  <c r="D295" i="16"/>
  <c r="E125" i="16"/>
  <c r="K244" i="16"/>
  <c r="C226" i="16"/>
  <c r="E226" i="16" s="1"/>
  <c r="J109" i="16" l="1"/>
  <c r="F125" i="16"/>
  <c r="J132" i="16" s="1"/>
  <c r="K132" i="16" s="1"/>
  <c r="K134" i="16" s="1"/>
  <c r="K136" i="16" s="1"/>
  <c r="B149" i="16" s="1"/>
  <c r="F149" i="16" s="1"/>
  <c r="H132" i="16"/>
  <c r="C142" i="16" s="1"/>
  <c r="I111" i="16"/>
  <c r="J111" i="16" s="1"/>
  <c r="J112" i="16" s="1"/>
  <c r="H142" i="16"/>
  <c r="H295" i="16"/>
  <c r="J295" i="16" s="1"/>
  <c r="E295" i="16"/>
  <c r="A286" i="16"/>
  <c r="J286" i="16"/>
  <c r="G226" i="16"/>
  <c r="I226" i="16" s="1"/>
  <c r="G125" i="16" l="1"/>
  <c r="G127" i="16" s="1"/>
  <c r="G128" i="16" s="1"/>
  <c r="B142" i="16" s="1"/>
  <c r="C152" i="16"/>
  <c r="D142" i="16"/>
  <c r="G149" i="16"/>
  <c r="I149" i="16" s="1"/>
  <c r="E142" i="16"/>
  <c r="H125" i="16"/>
  <c r="I125" i="16" s="1"/>
  <c r="I127" i="16" s="1"/>
  <c r="I128" i="16" s="1"/>
  <c r="I112" i="16"/>
  <c r="J125" i="16" l="1"/>
  <c r="J127" i="16" s="1"/>
  <c r="J128" i="16" s="1"/>
  <c r="C158" i="16"/>
  <c r="D152" i="16"/>
  <c r="H152" i="16" s="1"/>
  <c r="J152" i="16" s="1"/>
  <c r="H149" i="16"/>
  <c r="J149" i="16" s="1"/>
  <c r="K149" i="16" s="1"/>
  <c r="F142" i="16"/>
  <c r="I142" i="16" s="1"/>
  <c r="G143" i="16"/>
  <c r="K150" i="16"/>
  <c r="G152" i="16"/>
  <c r="I152" i="16" s="1"/>
  <c r="B144" i="16"/>
  <c r="B145" i="16" s="1"/>
  <c r="B152" i="16" s="1"/>
  <c r="K151" i="16" l="1"/>
  <c r="F151" i="16"/>
  <c r="B151" i="16" s="1"/>
  <c r="I143" i="16"/>
  <c r="J143" i="16" s="1"/>
  <c r="A143" i="16"/>
  <c r="G142" i="16"/>
  <c r="E158" i="16"/>
  <c r="G165" i="16"/>
  <c r="I165" i="16" s="1"/>
  <c r="C168" i="16"/>
  <c r="D158" i="16"/>
  <c r="H176" i="16"/>
  <c r="E152" i="16"/>
  <c r="F152" i="16" s="1"/>
  <c r="K152" i="16" s="1"/>
  <c r="K153" i="16" l="1"/>
  <c r="B165" i="16" s="1"/>
  <c r="F165" i="16" s="1"/>
  <c r="F167" i="16" s="1"/>
  <c r="B167" i="16" s="1"/>
  <c r="G168" i="16"/>
  <c r="I168" i="16" s="1"/>
  <c r="G144" i="16"/>
  <c r="G145" i="16" s="1"/>
  <c r="B158" i="16" s="1"/>
  <c r="J142" i="16"/>
  <c r="J144" i="16" s="1"/>
  <c r="J145" i="16" s="1"/>
  <c r="H165" i="16"/>
  <c r="J165" i="16" s="1"/>
  <c r="F158" i="16"/>
  <c r="D168" i="16"/>
  <c r="E168" i="16" s="1"/>
  <c r="I144" i="16"/>
  <c r="K165" i="16" l="1"/>
  <c r="K167" i="16" s="1"/>
  <c r="B160" i="16"/>
  <c r="B161" i="16" s="1"/>
  <c r="B168" i="16" s="1"/>
  <c r="F168" i="16" s="1"/>
  <c r="G158" i="16"/>
  <c r="I145" i="16"/>
  <c r="H158" i="16"/>
  <c r="I158" i="16" s="1"/>
  <c r="I160" i="16" s="1"/>
  <c r="I161" i="16" s="1"/>
  <c r="C176" i="16"/>
  <c r="H168" i="16"/>
  <c r="J168" i="16" s="1"/>
  <c r="D176" i="16" l="1"/>
  <c r="I176" i="16" s="1"/>
  <c r="I178" i="16" s="1"/>
  <c r="C179" i="16"/>
  <c r="D179" i="16" s="1"/>
  <c r="K168" i="16"/>
  <c r="K169" i="16" s="1"/>
  <c r="B179" i="16" s="1"/>
  <c r="G160" i="16"/>
  <c r="G161" i="16" s="1"/>
  <c r="B176" i="16" s="1"/>
  <c r="J158" i="16"/>
  <c r="J160" i="16" s="1"/>
  <c r="J161" i="16" s="1"/>
  <c r="G176" i="16" l="1"/>
  <c r="J176" i="16" s="1"/>
  <c r="J178" i="16" s="1"/>
  <c r="B178" i="16"/>
  <c r="G179" i="16"/>
  <c r="H199" i="16"/>
  <c r="I199" i="16" s="1"/>
  <c r="I201" i="16" s="1"/>
  <c r="I202" i="16" s="1"/>
  <c r="H216" i="16" s="1"/>
  <c r="I216" i="16" s="1"/>
  <c r="I219" i="16" s="1"/>
  <c r="H234" i="16" s="1"/>
  <c r="I234" i="16" s="1"/>
  <c r="I236" i="16" s="1"/>
  <c r="I237" i="16" s="1"/>
  <c r="H251" i="16" s="1"/>
  <c r="I251" i="16" s="1"/>
  <c r="I254" i="16" s="1"/>
  <c r="H268" i="16" s="1"/>
  <c r="I268" i="16" s="1"/>
  <c r="I270" i="16" s="1"/>
  <c r="I271" i="16" s="1"/>
  <c r="H285" i="16" s="1"/>
  <c r="I285" i="16" s="1"/>
  <c r="I21" i="18" s="1"/>
  <c r="I182" i="16"/>
  <c r="H187" i="16"/>
  <c r="I187" i="16" s="1"/>
  <c r="G178" i="16" l="1"/>
  <c r="B187" i="16" s="1"/>
  <c r="I29" i="18"/>
  <c r="I34" i="18" s="1"/>
  <c r="I288" i="16"/>
  <c r="G181" i="16"/>
  <c r="J179" i="16"/>
  <c r="G182" i="16" l="1"/>
  <c r="G187" i="16"/>
  <c r="B189" i="16"/>
  <c r="B190" i="16"/>
  <c r="J181" i="16"/>
  <c r="J182" i="16" s="1"/>
  <c r="G190" i="16" l="1"/>
  <c r="J190" i="16" s="1"/>
  <c r="J192" i="16" s="1"/>
  <c r="B206" i="16" s="1"/>
  <c r="F206" i="16" s="1"/>
  <c r="K206" i="16" s="1"/>
  <c r="K208" i="16" s="1"/>
  <c r="B192" i="16"/>
  <c r="B193" i="16" s="1"/>
  <c r="J187" i="16"/>
  <c r="J189" i="16" s="1"/>
  <c r="F309" i="16"/>
  <c r="G189" i="16"/>
  <c r="B199" i="16" s="1"/>
  <c r="G192" i="16" l="1"/>
  <c r="J193" i="16"/>
  <c r="G193" i="16" l="1"/>
  <c r="G199" i="16"/>
  <c r="B209" i="16"/>
  <c r="F209" i="16" s="1"/>
  <c r="K209" i="16" s="1"/>
  <c r="K210" i="16" s="1"/>
  <c r="B223" i="16" s="1"/>
  <c r="F223" i="16" s="1"/>
  <c r="K223" i="16" s="1"/>
  <c r="K225" i="16" s="1"/>
  <c r="J199" i="16" l="1"/>
  <c r="G201" i="16"/>
  <c r="J201" i="16" l="1"/>
  <c r="J202" i="16" s="1"/>
  <c r="G202" i="16"/>
  <c r="B216" i="16" s="1"/>
  <c r="G216" i="16" s="1"/>
  <c r="J216" i="16" l="1"/>
  <c r="J218" i="16" s="1"/>
  <c r="J219" i="16" s="1"/>
  <c r="G218" i="16"/>
  <c r="G219" i="16" s="1"/>
  <c r="B234" i="16" s="1"/>
  <c r="B218" i="16"/>
  <c r="B219" i="16" s="1"/>
  <c r="B226" i="16" s="1"/>
  <c r="F226" i="16" s="1"/>
  <c r="K226" i="16" s="1"/>
  <c r="K227" i="16" s="1"/>
  <c r="B241" i="16" s="1"/>
  <c r="F241" i="16" s="1"/>
  <c r="K241" i="16" s="1"/>
  <c r="K243" i="16" s="1"/>
  <c r="K245" i="16" s="1"/>
  <c r="B258" i="16" s="1"/>
  <c r="F258" i="16" s="1"/>
  <c r="K258" i="16" s="1"/>
  <c r="K260" i="16" s="1"/>
  <c r="K262" i="16" s="1"/>
  <c r="B275" i="16" s="1"/>
  <c r="F275" i="16" s="1"/>
  <c r="K275" i="16" s="1"/>
  <c r="K277" i="16" s="1"/>
  <c r="G234" i="16" l="1"/>
  <c r="J234" i="16" s="1"/>
  <c r="G236" i="16" l="1"/>
  <c r="G237" i="16" s="1"/>
  <c r="B251" i="16" s="1"/>
  <c r="G251" i="16" s="1"/>
  <c r="J236" i="16" l="1"/>
  <c r="J237" i="16" s="1"/>
  <c r="G253" i="16"/>
  <c r="G254" i="16" s="1"/>
  <c r="B268" i="16" s="1"/>
  <c r="J251" i="16"/>
  <c r="J253" i="16" s="1"/>
  <c r="J254" i="16" s="1"/>
  <c r="B253" i="16"/>
  <c r="B254" i="16" s="1"/>
  <c r="B278" i="16" l="1"/>
  <c r="F278" i="16" s="1"/>
  <c r="K278" i="16" s="1"/>
  <c r="K279" i="16" s="1"/>
  <c r="B292" i="16" s="1"/>
  <c r="F292" i="16" s="1"/>
  <c r="K292" i="16" s="1"/>
  <c r="K294" i="16" s="1"/>
  <c r="G268" i="16"/>
  <c r="G270" i="16" l="1"/>
  <c r="J268" i="16"/>
  <c r="J270" i="16" l="1"/>
  <c r="J271" i="16" s="1"/>
  <c r="G271" i="16"/>
  <c r="B285" i="16" s="1"/>
  <c r="G285" i="16" s="1"/>
  <c r="J285" i="16" l="1"/>
  <c r="G287" i="16"/>
  <c r="G288" i="16" s="1"/>
  <c r="B287" i="16"/>
  <c r="B288" i="16" s="1"/>
  <c r="B295" i="16" s="1"/>
  <c r="F295" i="16" s="1"/>
  <c r="K295" i="16" s="1"/>
  <c r="K296" i="16" l="1"/>
  <c r="J287" i="16"/>
  <c r="J288" i="16" s="1"/>
  <c r="I19" i="18"/>
  <c r="I20" i="18" l="1"/>
  <c r="J20" i="18" s="1"/>
  <c r="K309" i="16"/>
  <c r="K304" i="16"/>
  <c r="K302" i="16"/>
  <c r="I22" i="18"/>
  <c r="I24" i="18" s="1"/>
  <c r="E10" i="18" a="1"/>
  <c r="E10" i="18" s="1"/>
  <c r="E12" i="18" s="1"/>
  <c r="E14" i="18" s="1"/>
  <c r="F311" i="16" s="1"/>
  <c r="F312" i="16" s="1"/>
  <c r="J19" i="18" l="1"/>
  <c r="I27" i="18" s="1"/>
  <c r="I32" i="18" s="1"/>
  <c r="K306" i="16"/>
  <c r="I28" i="18"/>
  <c r="I33" i="18" s="1"/>
  <c r="K312" i="16"/>
  <c r="B13" i="16" l="1"/>
  <c r="O310" i="16" s="1"/>
  <c r="K314" i="16"/>
  <c r="F303" i="16" s="1"/>
  <c r="F306" i="16" s="1"/>
  <c r="J10" i="18"/>
  <c r="J12" i="18" s="1"/>
  <c r="J14" i="18" s="1"/>
  <c r="I35" i="18" s="1"/>
  <c r="I36" i="18" s="1"/>
  <c r="I37" i="18" s="1"/>
  <c r="O307" i="16" l="1"/>
  <c r="O311" i="16"/>
  <c r="O308" i="16"/>
  <c r="O309" i="16" l="1"/>
  <c r="O312" i="16" l="1"/>
  <c r="O313" i="1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<sst xmlns="http://schemas.openxmlformats.org/spreadsheetml/2006/main" count="711" uniqueCount="207">
  <si>
    <t>Dados Processo</t>
  </si>
  <si>
    <t>Cabeça:</t>
  </si>
  <si>
    <t>Entidade:</t>
  </si>
  <si>
    <t>Processo de Conhecimento:</t>
  </si>
  <si>
    <t>OC:</t>
  </si>
  <si>
    <t xml:space="preserve">EP: </t>
  </si>
  <si>
    <t>Cumprimento de Sentença:</t>
  </si>
  <si>
    <t>Incidente:</t>
  </si>
  <si>
    <t>Cedente</t>
  </si>
  <si>
    <t>Nome:</t>
  </si>
  <si>
    <t>Observações:</t>
  </si>
  <si>
    <t>Dados Cálculo e Sentença</t>
  </si>
  <si>
    <t>Descrição</t>
  </si>
  <si>
    <t>Data Base Atual. Principal:</t>
  </si>
  <si>
    <t>Data Base Atual. Juros:</t>
  </si>
  <si>
    <t>Data Base Cálculo Ofício:</t>
  </si>
  <si>
    <t>Data Base Pagamentos</t>
  </si>
  <si>
    <t>Data Inscrição</t>
  </si>
  <si>
    <t>Período de Graça / OC</t>
  </si>
  <si>
    <t>Data</t>
  </si>
  <si>
    <t>Valores Ofício Requisitório</t>
  </si>
  <si>
    <t>Principal Atualizado:</t>
  </si>
  <si>
    <t>Juros:</t>
  </si>
  <si>
    <t>Total Bruto Cedente:</t>
  </si>
  <si>
    <t>Total Líquido Cedente:</t>
  </si>
  <si>
    <t>Pagamento Parcial?</t>
  </si>
  <si>
    <t>Descontos:</t>
  </si>
  <si>
    <t>Resumo e Conclusão</t>
  </si>
  <si>
    <t>Observações e Comentários</t>
  </si>
  <si>
    <t>(A) Principal Líquido Disponível Cedente:</t>
  </si>
  <si>
    <t>(B) Juros Disponível Cedente</t>
  </si>
  <si>
    <t>(C) Total Líquido Disponível Cedente (A+B):</t>
  </si>
  <si>
    <t>(D) Reserva Honorários Adv. Contratuais:</t>
  </si>
  <si>
    <t>Total Disponível para Cessão (C-D):</t>
  </si>
  <si>
    <t>Regras Gerais - Datas e Termos</t>
  </si>
  <si>
    <t>Termo</t>
  </si>
  <si>
    <t>Alteração Data Inscrição</t>
  </si>
  <si>
    <t>Calculo Selic</t>
  </si>
  <si>
    <t>Tabelas</t>
  </si>
  <si>
    <t>TAB DEPRE 303/19</t>
  </si>
  <si>
    <t>TAB DEPRE IPCAE</t>
  </si>
  <si>
    <t>Honorários</t>
  </si>
  <si>
    <t>Bruto</t>
  </si>
  <si>
    <t>Líquido</t>
  </si>
  <si>
    <t>IPESP/IAMSPE</t>
  </si>
  <si>
    <t>(A.1) Atualização Valor Principal - PRÉ Inscrição - Resolução CNJ 438/21 (EC 62/2009)</t>
  </si>
  <si>
    <t>Valor Original</t>
  </si>
  <si>
    <t>Data Base Inicial</t>
  </si>
  <si>
    <t>Índice Inicial</t>
  </si>
  <si>
    <t>Data Base Final</t>
  </si>
  <si>
    <t>Índice Final</t>
  </si>
  <si>
    <t>Valor Bruto Atualizado</t>
  </si>
  <si>
    <t>IPESP/IAMSPE/ OUTROS
Original</t>
  </si>
  <si>
    <t>IPESP/IAMSPE/ OUTROS
Atualizado</t>
  </si>
  <si>
    <t>Valor Líquido Atualizado</t>
  </si>
  <si>
    <t>Principal Original</t>
  </si>
  <si>
    <t>Saldo Principal Após Pagamentos</t>
  </si>
  <si>
    <t>(A.1) OFÍCIO ATUALIZADO - PRÉ INSCRIÇÃO</t>
  </si>
  <si>
    <t>(A.2) Juros de Mora PRÉ Inscrição -  Resolução CNJ 438/21 (EC 62/2009)</t>
  </si>
  <si>
    <t>Base de Cálculo</t>
  </si>
  <si>
    <t>Data Inicial Incid. Juros</t>
  </si>
  <si>
    <t>Data Final Incid. Juros</t>
  </si>
  <si>
    <t>Juros Período %</t>
  </si>
  <si>
    <t>Juros de Mora</t>
  </si>
  <si>
    <t>Data Atual. Monet. Inicial</t>
  </si>
  <si>
    <t>Data Atual. Monet. Final</t>
  </si>
  <si>
    <t>Índice Atual.
Monet. Inicial</t>
  </si>
  <si>
    <t>Índice Atual.
Monet. Final</t>
  </si>
  <si>
    <t>Juros de Mora Atualizados</t>
  </si>
  <si>
    <t>Juros Ofício Requisitório (Atualização)</t>
  </si>
  <si>
    <t>N/A</t>
  </si>
  <si>
    <t>Saldo Juros Ofício Após Pagamentos</t>
  </si>
  <si>
    <t>Juros de Mora Pré Insc - Principal Ofício</t>
  </si>
  <si>
    <t>(A.2) JUROS DE MORA ATUALIZADO - PRÉ INSCRIÇÃO</t>
  </si>
  <si>
    <t>(B.1) TOTAL PRINCIPAL CONSOLIDADO - PÓS INSCRIÇÃO</t>
  </si>
  <si>
    <t>Juros %</t>
  </si>
  <si>
    <t>Índice Atual.
Inicial</t>
  </si>
  <si>
    <t>Índice Atual.
Final</t>
  </si>
  <si>
    <t>Juros de Mora Pós Insc - Principal Atual. Cf (A.1)</t>
  </si>
  <si>
    <t>Saldo Juros Consolid. Após Pagamentos</t>
  </si>
  <si>
    <t>Sobre Valor</t>
  </si>
  <si>
    <r>
      <rPr>
        <b/>
        <sz val="11"/>
        <color theme="1"/>
        <rFont val="Calibri"/>
        <family val="2"/>
        <scheme val="minor"/>
      </rPr>
      <t>Atualização monetária</t>
    </r>
    <r>
      <rPr>
        <sz val="11"/>
        <color theme="1"/>
        <rFont val="Calibri"/>
        <family val="2"/>
        <scheme val="minor"/>
      </rPr>
      <t xml:space="preserve">:
- IPCA-E/IBGE entre 03/2015 e 01/07/2021
- SELIC/CMN a partir de 07/2021
</t>
    </r>
    <r>
      <rPr>
        <b/>
        <sz val="11"/>
        <color theme="1"/>
        <rFont val="Calibri"/>
        <family val="2"/>
        <scheme val="minor"/>
      </rPr>
      <t>Juros moratórios:</t>
    </r>
    <r>
      <rPr>
        <sz val="11"/>
        <color theme="1"/>
        <rFont val="Calibri"/>
        <family val="2"/>
        <scheme val="minor"/>
      </rPr>
      <t xml:space="preserve">
- TR Poupança até 01/07/2021
- SELIC/CMN a partir de 07/2021</t>
    </r>
  </si>
  <si>
    <t xml:space="preserve">Ordem cronológica em conformidade com as alterações da EC 114/2021.
</t>
  </si>
  <si>
    <t xml:space="preserve">Ref.: </t>
  </si>
  <si>
    <t>(01.1) Tabela Prática DEPRE TJ/SP-EC 113/2021</t>
  </si>
  <si>
    <t>TABELA PRÁTICA PARA CÁLCULO DE ATUALIZAÇÃO MONETÁRIA DOS DÉBITOS JUDICIAIS</t>
  </si>
  <si>
    <t>DIRETORIA DE EXECUÇÃO DE PRECATÓRIOS E CÁLCULOS</t>
  </si>
  <si>
    <t>Em  cumprimento  à  Emenda  Constitucional  nº  113/2021,  segue  a  TABELA  OFICIAL  ATUALIZADA  aplicável  nos  cálculos  judiciais relativos às Fazendas Públicas.</t>
  </si>
  <si>
    <t>https://www.tjsp.jus.br/Download/Tabelas/TabelaEmendaConstitucional113-2021.pdf</t>
  </si>
  <si>
    <t>***ATENÇÃO - A  PARTIR DE 09/12/2021 JÁ ESTÁ INCLUÍDA A SELIC NO CALCULO DE ATUALIZACAO</t>
  </si>
  <si>
    <t>DATA</t>
  </si>
  <si>
    <t>ÍNDICE</t>
  </si>
  <si>
    <t xml:space="preserve">OBSERVAÇÃO  I  -  Dividir  o  valor  a  atualizar  (observar  o  padrão  monetário  vigente  à  época)  pelo  fator  do  mês  do  termo  inicial  e multiplicar pelo fator do mês do termo final, obtendo-se o resultado na moeda vigente na data do termo final, não sendo necessário efetuar qualquer conversão. Esclarecendo que, nesta tabela pratica, não estão incluídos os juros, apenas a correção monetária.
PADRÕES MONETÁRIOS A CONSIDERAR:
Cr$ (cruzeiro): de out/64 a jan/67
NCr$ (cruzeiro novo): de fev/67 a mai/70 Cr$ (cruzeiro): de jun/70 a fev/86
Cz$ (cruzado): de mar/86 a dez/88 NCz$ (cruzado novo): de jan/89 a fev/90 Cr$ (cruzeiro): de mar/90 a jul/93
CR$ (cruzeiro real): de ago/93 a jun/94 R$ (real): de jul/94 em diante.
Exemplo de atualização:
Atualização para maio de 2022, utilizando a TABELA PRÁTICA aplicável nos cálculos judiciais relativos às Fazendas Públicas, do valor de Cz$1.000,00 fixado em janeiro de 1988 = Cz$1.000,00 : 596,94 (janeiro/1988) x 59,087478 (maio/2022) = R$98,98.
</t>
  </si>
  <si>
    <t>OBSERVAÇÃO II - Os fatores de atualização monetária foram compostos pela aplicação dos seguintes índices: Out/64 a fev/86: ORTN
Mar/86 e mar/87 a jan/89: OTN
Fev/89: 42,72% (conforme STJ, índice de jan/89) Mar/89: 10,14% (conforme STJ, índice de fev/89) Abr/89 a mar/90: BTN (de mar/89 a fev/90) Abr/90 a mar/91: IPC (de mar/90 a fev/91)  Abr/91 a dez/91: INPC (de mar/91 a nov/91) Jan/92: IPCA-E (dez/91)
Fev/92 a jan/01: UFIR (de jan/92 a dez/00) Fev/01 a dez/09: IPCA-E (de jan/01 a nov/09)
Jan/10: IPCA-E e TR (09 dias do IPCA-E de dez/09 + 15 dias úteis da TR de dez/09 = 0,146662%)
Fev/10 a mar/15: TR (de jan/10 a fev/15)
Abr/15: TR e IPCA-E (18 dias úteis da TR de mar/15 e 6 dias do IPCA-E de mar/15 = 0,346036%)
Mai/15 a dez/21: IPCA-E (de abr/15 a Nov/21) Jan/22 em diante: SELIC (de Dez/21 em diante).</t>
  </si>
  <si>
    <r>
      <t xml:space="preserve">OBSERVAÇÃO III - Para o período de vigência da UFIR, foi adotado o índice que atualizava a mesma (IPCA-E – mensal).
OBSERVAÇÃO IV - Fator para janeiro/2010: Fator indicado na tabela para dezembro/2009 (37,777493), que é composto de IPCA-E de novembro de 2009, acrescidos de 09 dias do IPCA-E de dezembro de 2009 (0,38% ÷ 31 dias x 09 dias = 0,110322%) e 15 dias úteis
da TR mensal de dezembro de 2009 (0,0533% ÷ 22 dias úteis x 15 dias úteis = 0,036340%) = 37,832898 (37,777493 x 1,00146661).
OBSERVAÇÃO  V  -  Fator  para  abril/2015:  Fator  indicado  na  tabela  para  março/2015  (39,112904),  que  é  composto  de  TR  de fevereiro/2015, acrescidos de 18 dias úteis da TR de março/2015 (0,1296% ÷ 22 dias úteis x 18 dias úteis = 0,106036%) e 06 dias  do IPCA-E mensal de março/2015 (1,24% ÷ 31 dias x 06 dias = 0,240000%) = 39,248248 (39,112904 x 1,00346036) .
</t>
    </r>
    <r>
      <rPr>
        <b/>
        <sz val="9"/>
        <color rgb="FFFF0000"/>
        <rFont val="Arial"/>
        <family val="2"/>
      </rPr>
      <t>OBSERVAÇÃO VI –  A partir de 09/12/2021  (data da publicação da EC nº 113/2021), não devem ser apurados juros de quaisquer espécies.</t>
    </r>
  </si>
  <si>
    <t>(01.2) Tabela Prática TJ/SP - IPCA-E</t>
  </si>
  <si>
    <t>TABELA PRÁTICA PARA CÁLCULO DE ATUALIZAÇÃO MONETÁRIA - IPCA-E</t>
  </si>
  <si>
    <t>Em cumprimento ao Comunicado da Egrégia Presidência do Tribunal de Justiça, publicado no D.O.J. de 24 e 28 de junho de 1.993 e rr. decisões do Colendo Superior Tribunal de Justiça, segue a TABELA OFICIAL ATUALIZADA aplicável nos cálculos judiciais, exceto para aqueles com normas específicas estabelecidas por lei ou com r. decisão transitada em julgado estabelecendo critério e índices diferentes.</t>
  </si>
  <si>
    <t>https://www.tjsp.jus.br/Download/Tabelas/Tabela_IPCA-E.pdf</t>
  </si>
  <si>
    <t>JUROS M</t>
  </si>
  <si>
    <t>ATUALIZ</t>
  </si>
  <si>
    <t>INICIO</t>
  </si>
  <si>
    <t>FIM</t>
  </si>
  <si>
    <t>(01.3) Atualização Índice da Poupança</t>
  </si>
  <si>
    <t>Atualização em conformidade com a Lei federal 12.703/2012 - Tabela Prática "Debit"</t>
  </si>
  <si>
    <t>https://www.debit.com.br/tabelas/tabela-completa.php?indice=poupanca</t>
  </si>
  <si>
    <t xml:space="preserve">Mês/Ano </t>
  </si>
  <si>
    <t>Taxa Mensal</t>
  </si>
  <si>
    <t>Taxa Acumulada 60</t>
  </si>
  <si>
    <t>Taxa Acumulada</t>
  </si>
  <si>
    <t>(01.4) Taxa SELIC Referenciada - RFB</t>
  </si>
  <si>
    <t>Atualização em conformidade com a EC 114/2021 - Tabela RFB</t>
  </si>
  <si>
    <t>https://www.gov.br/receitafederal/pt-br/assuntos/orientacao-tributaria/pagamentos-e-parcelamentos/taxa-de-juros-selic</t>
  </si>
  <si>
    <t>Suc/Custas</t>
  </si>
  <si>
    <t>Desconto RRA</t>
  </si>
  <si>
    <t>Cedível</t>
  </si>
  <si>
    <t>Descrição Cálculo</t>
  </si>
  <si>
    <t>BLIP - Cedível</t>
  </si>
  <si>
    <t>Despesas</t>
  </si>
  <si>
    <t>Mudança PEC</t>
  </si>
  <si>
    <t>(B.1) Atualização Valor Principal - PRÉ Inscrição - Resolução CNJ 438/21 (EC 62/2009)</t>
  </si>
  <si>
    <t>(B.2) Juros de Mora PRÉ Inscrição -  Resolução CNJ 438/21 (EC 62/2009)</t>
  </si>
  <si>
    <t>(B.2) JUROS DE MORA ATUALIZADO - PRÉ INSCRIÇÃO</t>
  </si>
  <si>
    <t>(C.1) Atualização Valor Principal - PÓS Inscrição -  Resolução CNJ 438/21 (EC 62/2009)</t>
  </si>
  <si>
    <t>(C.2) Juros de Mora PÓS Inscrição -  Resolução CNJ 438/21 (EC 62/2009)</t>
  </si>
  <si>
    <t>(C.2) TOTAL JUROS DE MORA CONSOLIDADOS - PÓS INSCRIÇÃO - ATUALIZADO</t>
  </si>
  <si>
    <t>Principal Atualizado Pré Inscrição - Cf. (B.1)</t>
  </si>
  <si>
    <t>Juros de Mora Atualizados - Cf. (B.2)
Período de Graça</t>
  </si>
  <si>
    <t>Saldo Juros de Mora Cf. (B.2) Após Pagamentos</t>
  </si>
  <si>
    <t>(D.1) Atualização Valor Principal - PRÉ Inscrição - Resolução CNJ 438/21 (EC 62/2009)</t>
  </si>
  <si>
    <t>(D.1) OFÍCIO ATUALIZADO - PRÉ INSCRIÇÃO</t>
  </si>
  <si>
    <t>(D.2) Juros de Mora PRÉ Inscrição -  Resolução CNJ 438/21 (EC 62/2009)</t>
  </si>
  <si>
    <t>(D.2) JUROS DE MORA ATUALIZADO - PRÉ INSCRIÇÃO</t>
  </si>
  <si>
    <t>(E.1) Atualização Valor Total Consolidado - PRÉ Inscrição - Resolução CNJ 303/2019 (EC 114/2021)</t>
  </si>
  <si>
    <t>(E.1) Valor Total Consolidado - PRÉ Inscrição</t>
  </si>
  <si>
    <t>Principal Total Consolidado - Cf. (D.1)</t>
  </si>
  <si>
    <t>Juros Totais Consolidados - Cf. (D.2)</t>
  </si>
  <si>
    <t>De</t>
  </si>
  <si>
    <t>Até</t>
  </si>
  <si>
    <t>OC</t>
  </si>
  <si>
    <t>ANO</t>
  </si>
  <si>
    <t>Inicio</t>
  </si>
  <si>
    <t>Fim</t>
  </si>
  <si>
    <t>alterar =&gt;</t>
  </si>
  <si>
    <t>Mês/Ano</t>
  </si>
  <si>
    <t>Janeiro</t>
  </si>
  <si>
    <t>Fevereiro</t>
  </si>
  <si>
    <t>Março</t>
  </si>
  <si>
    <t>Abril</t>
  </si>
  <si>
    <t>Maio</t>
  </si>
  <si>
    <t>Junho</t>
  </si>
  <si>
    <t>Julho</t>
  </si>
  <si>
    <t>Agosto</t>
  </si>
  <si>
    <t>Setembro</t>
  </si>
  <si>
    <t>Outubro</t>
  </si>
  <si>
    <t>Novembro</t>
  </si>
  <si>
    <t>Dezembro</t>
  </si>
  <si>
    <t>Antes do Pagamento de Prioridade</t>
  </si>
  <si>
    <t>Após o Pagamento de Prioridade</t>
  </si>
  <si>
    <t>(E) Atualização Monetária - Resolução CNJ 303/2019 (EC 114/2021)</t>
  </si>
  <si>
    <t>(A) Atualização Antes do Período de Graça e antes da PEC</t>
  </si>
  <si>
    <t>(D) Atualização Após Período de Graça, mas antes da PEC</t>
  </si>
  <si>
    <t>Base de cálculo</t>
  </si>
  <si>
    <t>Alíquota</t>
  </si>
  <si>
    <t>Parcela a deduzir</t>
  </si>
  <si>
    <t>Valor Tributável</t>
  </si>
  <si>
    <t>Número de Meses</t>
  </si>
  <si>
    <t>Nr. de Meses</t>
  </si>
  <si>
    <t>Valor Mensal</t>
  </si>
  <si>
    <t>Imposto do RRA</t>
  </si>
  <si>
    <t>Valores Finais</t>
  </si>
  <si>
    <t>(E) Desconto de IR (RRA):</t>
  </si>
  <si>
    <t>Imposto RRA</t>
  </si>
  <si>
    <t>&lt;     Preencher     &gt;</t>
  </si>
  <si>
    <t xml:space="preserve">&lt;  Preencher </t>
  </si>
  <si>
    <t xml:space="preserve">Memória de Cálculo </t>
  </si>
  <si>
    <t>Juros</t>
  </si>
  <si>
    <t>Total Bruto</t>
  </si>
  <si>
    <t>Total Liquido</t>
  </si>
  <si>
    <t>Desc. IR</t>
  </si>
  <si>
    <t>Desc. Saúde e Prev.</t>
  </si>
  <si>
    <t>Blip</t>
  </si>
  <si>
    <t>Sim ou Não</t>
  </si>
  <si>
    <t>Principal Bruto</t>
  </si>
  <si>
    <t>Planilha base</t>
  </si>
  <si>
    <t>Valores a receber com Deságio de 40%</t>
  </si>
  <si>
    <t>Principal Líquido</t>
  </si>
  <si>
    <t>Planilha ajustada</t>
  </si>
  <si>
    <t>DESÁGIO</t>
  </si>
  <si>
    <t>IPESP/IAMSP</t>
  </si>
  <si>
    <t>TOTAL BRUTO</t>
  </si>
  <si>
    <t>Honorários Contratuais</t>
  </si>
  <si>
    <t>%</t>
  </si>
  <si>
    <t>Integral</t>
  </si>
  <si>
    <t>Valores Pós desconto de Honorários</t>
  </si>
  <si>
    <t>Valores Pós Deságio</t>
  </si>
  <si>
    <t>Valor Líquido do Acordo</t>
  </si>
  <si>
    <t>Valor Líquido Líquido Cedível Total Equivalente</t>
  </si>
  <si>
    <t>IRRF</t>
  </si>
  <si>
    <t>Mudança PEC 2025</t>
  </si>
  <si>
    <t>(F) Atualização Antes Periodo de Graça e Após PEC 66/2025</t>
  </si>
  <si>
    <t>(G) Atualização Durante Periodo de Graça e Após PEC 66/2025</t>
  </si>
  <si>
    <t>(H) Atualização Após Periodo de Graça e Após PEC 66/2025</t>
  </si>
  <si>
    <t>(B) Atualização Antes do Período de Graça e Após PEC 2021</t>
  </si>
  <si>
    <t>(C) Atualização Monetária Durante Período de Graça Antes PEC 2025</t>
  </si>
  <si>
    <t>Estadual/Municipal</t>
  </si>
  <si>
    <t>Reserva de Honorários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</si>
</sst>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8" formatCode="&quot;R$&quot;\ #,##0.00;[Red]\-&quot;R$&quot;\ #,##0.00"/>
    <numFmt numFmtId="44" formatCode="_-&quot;R$&quot;\ * #,##0.00_-;\-&quot;R$&quot;\ * #,##0.00_-;_-&quot;R$&quot;\ * &quot;-&quot;??_-;_-@_-"/>
    <numFmt numFmtId="43" formatCode="_-* #,##0.00_-;\-* #,##0.00_-;_-* &quot;-&quot;??_-;_-@_-"/>
    <numFmt numFmtId="164" formatCode="&quot;R$&quot;\ #,##0.00"/>
    <numFmt numFmtId="165" formatCode="mm/yyyy"/>
    <numFmt numFmtId="166" formatCode="#,##0.000000"/>
    <numFmt numFmtId="167" formatCode="0.00000%"/>
    <numFmt numFmtId="168" formatCode="0.0000%"/>
    <numFmt numFmtId="169" formatCode="0.000000"/>
    <numFmt numFmtId="170" formatCode="0.0"/>
    <numFmt numFmtId="171" formatCode="_-* #,##0_-;\-* #,##0_-;_-* &quot;-&quot;??_-;_-@_-"/>
    <numFmt numFmtId="172" formatCode="&quot;R$&quot;\ #,##0.0000"/>
    <numFmt numFmtId="173" formatCode="_-&quot;R$&quot;\ * #,##0.00_-;\-&quot;R$&quot;\ * #,##0.00_-;_-&quot;R$&quot;\ * &quot;-&quot;?????_-;_-@_-"/>
  </numFmts>
  <fonts count="35">
    <font>
      <sz val="11"/>
      <color theme="1"/>
      <name val="Calibri"/>
      <family val="2"/>
      <scheme val="minor"/>
    </font>
    <font>
      <sz val="11"/>
      <color theme="1"/>
      <name val="Calibri"/>
      <family val="2"/>
      <scheme val="minor"/>
    </font>
    <font>
      <b/>
      <sz val="11"/>
      <color theme="1"/>
      <name val="Calibri"/>
      <family val="2"/>
      <scheme val="minor"/>
    </font>
    <font>
      <sz val="16"/>
      <color rgb="FFC00000"/>
      <name val="Myriad Pro"/>
    </font>
    <font>
      <sz val="12"/>
      <name val="Cambria"/>
      <family val="1"/>
    </font>
    <font>
      <sz val="12"/>
      <color theme="1"/>
      <name val="Calibri"/>
      <family val="2"/>
      <scheme val="minor"/>
    </font>
    <font>
      <b/>
      <sz val="12"/>
      <color theme="1"/>
      <name val="Calibri"/>
      <family val="2"/>
      <scheme val="minor"/>
    </font>
    <font>
      <b/>
      <sz val="11"/>
      <color theme="0"/>
      <name val="Calibri Light"/>
      <family val="2"/>
      <scheme val="major"/>
    </font>
    <font>
      <b/>
      <sz val="12"/>
      <color theme="1"/>
      <name val="Calibri Light"/>
      <family val="2"/>
      <scheme val="major"/>
    </font>
    <font>
      <sz val="10"/>
      <color theme="1"/>
      <name val="Calibri"/>
      <family val="2"/>
      <scheme val="minor"/>
    </font>
    <font>
      <b/>
      <sz val="11"/>
      <color theme="0"/>
      <name val="Calibri"/>
      <family val="2"/>
      <scheme val="minor"/>
    </font>
    <font>
      <sz val="10"/>
      <color rgb="FF000000"/>
      <name val="Times New Roman"/>
      <family val="1"/>
    </font>
    <font>
      <sz val="8"/>
      <name val="Arial MT"/>
      <family val="2"/>
    </font>
    <font>
      <sz val="8"/>
      <name val="Arial MT"/>
    </font>
    <font>
      <sz val="8"/>
      <color rgb="FF000000"/>
      <name val="Arial MT"/>
      <family val="2"/>
    </font>
    <font>
      <sz val="10"/>
      <name val="Cambria"/>
      <family val="1"/>
    </font>
    <font>
      <sz val="11"/>
      <color theme="0"/>
      <name val="Calibri"/>
      <family val="2"/>
      <scheme val="minor"/>
    </font>
    <font>
      <sz val="8"/>
      <name val="Arial"/>
      <family val="2"/>
    </font>
    <font>
      <b/>
      <sz val="9"/>
      <color rgb="FFFF0000"/>
      <name val="Arial"/>
      <family val="2"/>
    </font>
    <font>
      <b/>
      <u/>
      <sz val="8"/>
      <color rgb="FFFF0000"/>
      <name val="Arial MT"/>
    </font>
    <font>
      <u/>
      <sz val="11"/>
      <color theme="10"/>
      <name val="Calibri"/>
      <family val="2"/>
      <scheme val="minor"/>
    </font>
    <font>
      <b/>
      <sz val="11"/>
      <name val="Calibri Light"/>
      <family val="2"/>
      <scheme val="major"/>
    </font>
    <font>
      <b/>
      <u/>
      <sz val="11"/>
      <color theme="1"/>
      <name val="Calibri"/>
      <family val="2"/>
      <scheme val="minor"/>
    </font>
    <font>
      <sz val="11"/>
      <name val="Calibri"/>
      <family val="2"/>
      <scheme val="minor"/>
    </font>
    <font>
      <b/>
      <sz val="11"/>
      <color rgb="FFFF0000"/>
      <name val="Calibri"/>
      <family val="2"/>
      <scheme val="minor"/>
    </font>
    <font>
      <sz val="12"/>
      <color rgb="FF576071"/>
      <name val="Arial"/>
      <family val="2"/>
    </font>
    <font>
      <sz val="12"/>
      <color rgb="FF555555"/>
      <name val="Arial"/>
      <family val="2"/>
    </font>
    <font>
      <sz val="12"/>
      <color rgb="FF555555"/>
      <name val="Arial"/>
      <family val="2"/>
    </font>
    <font>
      <b/>
      <sz val="15"/>
      <color theme="0"/>
      <name val="Calibri Light"/>
      <family val="2"/>
      <scheme val="major"/>
    </font>
    <font>
      <sz val="11"/>
      <color rgb="FF231F20"/>
      <name val="Times New Roman"/>
      <family val="1"/>
    </font>
    <font>
      <b/>
      <sz val="11"/>
      <color rgb="FF231F20"/>
      <name val="Times New Roman"/>
      <family val="1"/>
    </font>
    <font>
      <b/>
      <sz val="12"/>
      <color theme="0"/>
      <name val="Calibri"/>
      <family val="2"/>
      <scheme val="minor"/>
    </font>
    <font>
      <b/>
      <sz val="11"/>
      <color theme="1"/>
      <name val="Calibri Light"/>
      <family val="2"/>
      <scheme val="major"/>
    </font>
    <font>
      <b/>
      <sz val="14"/>
      <color rgb="FFFF0000"/>
      <name val="Calibri"/>
      <family val="2"/>
      <scheme val="minor"/>
    </font>
    <font>
      <sz val="11"/>
      <color rgb="FF000000"/>
      <name val="Calibri"/>
      <family val="2"/>
      <scheme val="minor"/>
    </font>
  </fonts>
  <fills count="23">
    <fill>
      <patternFill patternType="none"/>
    </fill>
    <fill>
      <patternFill patternType="gray125"/>
    </fill>
    <fill>
      <patternFill patternType="solid">
        <fgColor theme="6" tint="0.39997558519241921"/>
        <bgColor indexed="64"/>
      </patternFill>
    </fill>
    <fill>
      <patternFill patternType="solid">
        <fgColor theme="1" tint="0.499984740745262"/>
        <bgColor indexed="64"/>
      </patternFill>
    </fill>
    <fill>
      <patternFill patternType="solid">
        <fgColor rgb="FFC000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1" tint="0.14999847407452621"/>
        <bgColor indexed="64"/>
      </patternFill>
    </fill>
    <fill>
      <patternFill patternType="solid">
        <fgColor rgb="FFFF0000"/>
        <bgColor indexed="64"/>
      </patternFill>
    </fill>
    <fill>
      <patternFill patternType="solid">
        <fgColor rgb="FF002060"/>
        <bgColor indexed="64"/>
      </patternFill>
    </fill>
    <fill>
      <patternFill patternType="solid">
        <fgColor rgb="FFFF9B9B"/>
        <bgColor indexed="64"/>
      </patternFill>
    </fill>
    <fill>
      <patternFill patternType="solid">
        <fgColor rgb="FFFFFF00"/>
        <bgColor indexed="64"/>
      </patternFill>
    </fill>
    <fill>
      <patternFill patternType="solid">
        <fgColor theme="2"/>
        <bgColor indexed="64"/>
      </patternFill>
    </fill>
    <fill>
      <patternFill patternType="solid">
        <fgColor rgb="FFFFFFFF"/>
        <bgColor indexed="64"/>
      </patternFill>
    </fill>
    <fill>
      <patternFill patternType="solid">
        <fgColor theme="4"/>
        <bgColor indexed="64"/>
      </patternFill>
    </fill>
    <fill>
      <patternFill patternType="solid">
        <fgColor theme="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rgb="FF7030A0"/>
        <bgColor indexed="64"/>
      </patternFill>
    </fill>
    <fill>
      <patternFill patternType="solid">
        <fgColor theme="7"/>
        <bgColor indexed="64"/>
      </patternFill>
    </fill>
    <fill>
      <patternFill patternType="solid">
        <fgColor theme="5" tint="0.39997558519241921"/>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medium">
        <color auto="1"/>
      </top>
      <bottom style="double">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bottom style="double">
        <color auto="1"/>
      </bottom>
      <diagonal/>
    </border>
    <border>
      <left/>
      <right/>
      <top/>
      <bottom style="double">
        <color auto="1"/>
      </bottom>
      <diagonal/>
    </border>
    <border>
      <left/>
      <right style="thin">
        <color indexed="64"/>
      </right>
      <top/>
      <bottom style="double">
        <color indexed="64"/>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ck">
        <color indexed="64"/>
      </bottom>
      <diagonal/>
    </border>
    <border>
      <left/>
      <right/>
      <top/>
      <bottom style="medium">
        <color rgb="FF000000"/>
      </bottom>
      <diagonal/>
    </border>
    <border>
      <left/>
      <right/>
      <top/>
      <bottom style="medium">
        <color rgb="FFC5D4EB"/>
      </bottom>
      <diagonal/>
    </border>
    <border>
      <left/>
      <right/>
      <top style="medium">
        <color rgb="FF000000"/>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0" fontId="11" fillId="0" borderId="0"/>
    <xf numFmtId="0" fontId="20" fillId="0" borderId="0" applyNumberForma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339">
    <xf numFmtId="0" fontId="0" fillId="0" borderId="0" xfId="0"/>
    <xf numFmtId="14" fontId="0" fillId="0" borderId="0" xfId="0" applyNumberFormat="1"/>
    <xf numFmtId="0" fontId="3" fillId="0" borderId="0" xfId="0" applyFont="1" applyAlignment="1">
      <alignment vertical="center"/>
    </xf>
    <xf numFmtId="0" fontId="4" fillId="0" borderId="0" xfId="0" applyFont="1" applyAlignment="1">
      <alignment vertical="center"/>
    </xf>
    <xf numFmtId="165" fontId="0" fillId="0" borderId="0" xfId="0" applyNumberFormat="1" applyAlignment="1">
      <alignment horizontal="center"/>
    </xf>
    <xf numFmtId="165" fontId="2" fillId="0" borderId="0" xfId="0" applyNumberFormat="1" applyFont="1" applyAlignment="1">
      <alignment horizontal="center"/>
    </xf>
    <xf numFmtId="165" fontId="2" fillId="0" borderId="0" xfId="0" applyNumberFormat="1" applyFont="1" applyAlignment="1">
      <alignment horizontal="left"/>
    </xf>
    <xf numFmtId="166" fontId="0" fillId="0" borderId="0" xfId="0" applyNumberFormat="1" applyAlignment="1">
      <alignment horizontal="center"/>
    </xf>
    <xf numFmtId="166" fontId="2" fillId="0" borderId="0" xfId="0" applyNumberFormat="1" applyFont="1" applyAlignment="1">
      <alignment horizontal="center"/>
    </xf>
    <xf numFmtId="165" fontId="0" fillId="6" borderId="0" xfId="0" applyNumberFormat="1" applyFill="1" applyAlignment="1">
      <alignment horizontal="center"/>
    </xf>
    <xf numFmtId="166" fontId="0" fillId="6" borderId="0" xfId="0" applyNumberFormat="1" applyFill="1" applyAlignment="1">
      <alignment horizontal="center"/>
    </xf>
    <xf numFmtId="165" fontId="0" fillId="7" borderId="0" xfId="0" applyNumberFormat="1" applyFill="1" applyAlignment="1">
      <alignment horizontal="center"/>
    </xf>
    <xf numFmtId="166" fontId="0" fillId="7" borderId="0" xfId="0" applyNumberFormat="1" applyFill="1" applyAlignment="1">
      <alignment horizontal="center"/>
    </xf>
    <xf numFmtId="0" fontId="0" fillId="8" borderId="0" xfId="0" applyFill="1"/>
    <xf numFmtId="166" fontId="14" fillId="0" borderId="0" xfId="3" applyNumberFormat="1" applyFont="1" applyAlignment="1">
      <alignment vertical="top" shrinkToFit="1"/>
    </xf>
    <xf numFmtId="10" fontId="0" fillId="0" borderId="0" xfId="0" applyNumberFormat="1"/>
    <xf numFmtId="0" fontId="2" fillId="0" borderId="0" xfId="0" applyFont="1" applyAlignment="1">
      <alignment horizontal="right" vertical="center"/>
    </xf>
    <xf numFmtId="0" fontId="2" fillId="0" borderId="19" xfId="0" applyFont="1" applyBorder="1"/>
    <xf numFmtId="0" fontId="2" fillId="0" borderId="20" xfId="0" applyFont="1" applyBorder="1"/>
    <xf numFmtId="10" fontId="2" fillId="0" borderId="21" xfId="0" applyNumberFormat="1" applyFont="1" applyBorder="1"/>
    <xf numFmtId="165" fontId="0" fillId="0" borderId="13" xfId="0" applyNumberFormat="1" applyBorder="1" applyAlignment="1">
      <alignment horizontal="center"/>
    </xf>
    <xf numFmtId="10" fontId="0" fillId="0" borderId="14" xfId="0" applyNumberFormat="1" applyBorder="1"/>
    <xf numFmtId="10" fontId="0" fillId="0" borderId="15" xfId="1" applyNumberFormat="1" applyFont="1" applyBorder="1"/>
    <xf numFmtId="165" fontId="0" fillId="0" borderId="6" xfId="0" applyNumberFormat="1" applyBorder="1" applyAlignment="1">
      <alignment horizontal="center"/>
    </xf>
    <xf numFmtId="10" fontId="0" fillId="0" borderId="7" xfId="0" applyNumberFormat="1" applyBorder="1"/>
    <xf numFmtId="0" fontId="15" fillId="0" borderId="0" xfId="0" applyFont="1" applyAlignment="1">
      <alignment vertical="center"/>
    </xf>
    <xf numFmtId="168" fontId="0" fillId="0" borderId="14" xfId="0" applyNumberFormat="1" applyBorder="1"/>
    <xf numFmtId="168" fontId="0" fillId="0" borderId="7" xfId="0" applyNumberFormat="1" applyBorder="1"/>
    <xf numFmtId="168" fontId="0" fillId="0" borderId="0" xfId="1" applyNumberFormat="1" applyFont="1"/>
    <xf numFmtId="165" fontId="0" fillId="0" borderId="0" xfId="0" applyNumberFormat="1"/>
    <xf numFmtId="0" fontId="0" fillId="0" borderId="0" xfId="0" applyProtection="1">
      <protection hidden="1"/>
    </xf>
    <xf numFmtId="4" fontId="0" fillId="0" borderId="0" xfId="0" applyNumberFormat="1" applyProtection="1">
      <protection hidden="1"/>
    </xf>
    <xf numFmtId="0" fontId="7" fillId="3" borderId="9" xfId="0" applyFont="1" applyFill="1" applyBorder="1" applyProtection="1">
      <protection hidden="1"/>
    </xf>
    <xf numFmtId="0" fontId="7" fillId="3" borderId="10" xfId="0" applyFont="1" applyFill="1" applyBorder="1" applyProtection="1">
      <protection hidden="1"/>
    </xf>
    <xf numFmtId="0" fontId="2" fillId="0" borderId="8" xfId="0" applyFont="1" applyBorder="1" applyProtection="1">
      <protection hidden="1"/>
    </xf>
    <xf numFmtId="0" fontId="0" fillId="0" borderId="12" xfId="0" applyBorder="1" applyProtection="1">
      <protection hidden="1"/>
    </xf>
    <xf numFmtId="0" fontId="2" fillId="0" borderId="13" xfId="0" applyFont="1" applyBorder="1" applyProtection="1">
      <protection hidden="1"/>
    </xf>
    <xf numFmtId="0" fontId="0" fillId="0" borderId="14" xfId="0" applyBorder="1" applyProtection="1">
      <protection hidden="1"/>
    </xf>
    <xf numFmtId="0" fontId="0" fillId="0" borderId="15" xfId="0" applyBorder="1" applyProtection="1">
      <protection hidden="1"/>
    </xf>
    <xf numFmtId="14" fontId="0" fillId="0" borderId="0" xfId="0" applyNumberFormat="1" applyAlignment="1" applyProtection="1">
      <alignment horizontal="center"/>
      <protection hidden="1"/>
    </xf>
    <xf numFmtId="14" fontId="0" fillId="5" borderId="0" xfId="0" applyNumberFormat="1" applyFill="1" applyAlignment="1" applyProtection="1">
      <alignment horizontal="center"/>
      <protection hidden="1"/>
    </xf>
    <xf numFmtId="14" fontId="0" fillId="5" borderId="12" xfId="0" applyNumberFormat="1" applyFill="1" applyBorder="1" applyAlignment="1" applyProtection="1">
      <alignment horizontal="center"/>
      <protection hidden="1"/>
    </xf>
    <xf numFmtId="14" fontId="2" fillId="0" borderId="13" xfId="0" applyNumberFormat="1" applyFont="1" applyBorder="1" applyAlignment="1" applyProtection="1">
      <alignment horizontal="left"/>
      <protection hidden="1"/>
    </xf>
    <xf numFmtId="0" fontId="7" fillId="3" borderId="8" xfId="0" applyFont="1" applyFill="1" applyBorder="1" applyProtection="1">
      <protection hidden="1"/>
    </xf>
    <xf numFmtId="0" fontId="7" fillId="3" borderId="0" xfId="0" applyFont="1" applyFill="1" applyProtection="1">
      <protection hidden="1"/>
    </xf>
    <xf numFmtId="0" fontId="0" fillId="0" borderId="9" xfId="0" applyBorder="1" applyAlignment="1" applyProtection="1">
      <alignment vertical="top" wrapText="1"/>
      <protection hidden="1"/>
    </xf>
    <xf numFmtId="44" fontId="0" fillId="0" borderId="0" xfId="2" applyFont="1" applyProtection="1">
      <protection hidden="1"/>
    </xf>
    <xf numFmtId="49" fontId="5" fillId="2" borderId="1" xfId="0" applyNumberFormat="1" applyFont="1" applyFill="1" applyBorder="1" applyAlignment="1" applyProtection="1">
      <alignment horizontal="left" vertical="center" wrapText="1"/>
      <protection hidden="1"/>
    </xf>
    <xf numFmtId="49" fontId="6" fillId="2" borderId="1" xfId="0" applyNumberFormat="1" applyFont="1" applyFill="1" applyBorder="1" applyAlignment="1" applyProtection="1">
      <alignment horizontal="center" vertical="center" wrapText="1"/>
      <protection hidden="1"/>
    </xf>
    <xf numFmtId="49" fontId="5" fillId="2" borderId="1" xfId="0" applyNumberFormat="1" applyFont="1" applyFill="1" applyBorder="1" applyAlignment="1" applyProtection="1">
      <alignment horizontal="center" vertical="center" wrapText="1"/>
      <protection hidden="1"/>
    </xf>
    <xf numFmtId="0" fontId="5" fillId="2" borderId="1" xfId="0" applyFont="1" applyFill="1" applyBorder="1" applyAlignment="1" applyProtection="1">
      <alignment horizontal="center" vertical="center" wrapText="1"/>
      <protection hidden="1"/>
    </xf>
    <xf numFmtId="49" fontId="9" fillId="2" borderId="1" xfId="0" applyNumberFormat="1" applyFont="1" applyFill="1" applyBorder="1" applyAlignment="1" applyProtection="1">
      <alignment horizontal="center" vertical="center" wrapText="1"/>
      <protection hidden="1"/>
    </xf>
    <xf numFmtId="165" fontId="0" fillId="0" borderId="2" xfId="0" applyNumberFormat="1" applyBorder="1" applyAlignment="1" applyProtection="1">
      <alignment horizontal="left" vertical="top" wrapText="1"/>
      <protection hidden="1"/>
    </xf>
    <xf numFmtId="166" fontId="0" fillId="0" borderId="3" xfId="0" applyNumberFormat="1" applyBorder="1" applyAlignment="1" applyProtection="1">
      <alignment horizontal="center" vertical="top" wrapText="1"/>
      <protection hidden="1"/>
    </xf>
    <xf numFmtId="164" fontId="0" fillId="0" borderId="4" xfId="0" applyNumberFormat="1" applyBorder="1" applyAlignment="1" applyProtection="1">
      <alignment vertical="top" wrapText="1"/>
      <protection hidden="1"/>
    </xf>
    <xf numFmtId="0" fontId="6" fillId="0" borderId="5" xfId="0" applyFont="1" applyBorder="1" applyAlignment="1" applyProtection="1">
      <alignment horizontal="left"/>
      <protection hidden="1"/>
    </xf>
    <xf numFmtId="0" fontId="6" fillId="0" borderId="0" xfId="0" applyFont="1" applyAlignment="1" applyProtection="1">
      <alignment horizontal="center"/>
      <protection hidden="1"/>
    </xf>
    <xf numFmtId="4" fontId="6" fillId="0" borderId="0" xfId="0" applyNumberFormat="1" applyFont="1" applyAlignment="1" applyProtection="1">
      <alignment horizontal="center" vertical="center"/>
      <protection hidden="1"/>
    </xf>
    <xf numFmtId="0" fontId="6" fillId="2" borderId="22" xfId="0" applyFont="1" applyFill="1" applyBorder="1" applyAlignment="1" applyProtection="1">
      <alignment horizontal="center" vertical="center" wrapText="1"/>
      <protection hidden="1"/>
    </xf>
    <xf numFmtId="164" fontId="2" fillId="0" borderId="2" xfId="0" applyNumberFormat="1" applyFont="1" applyBorder="1" applyAlignment="1" applyProtection="1">
      <alignment vertical="top" wrapText="1"/>
      <protection hidden="1"/>
    </xf>
    <xf numFmtId="166" fontId="0" fillId="0" borderId="2" xfId="0" applyNumberFormat="1" applyBorder="1" applyAlignment="1" applyProtection="1">
      <alignment horizontal="center" vertical="top" wrapText="1"/>
      <protection hidden="1"/>
    </xf>
    <xf numFmtId="0" fontId="0" fillId="0" borderId="8" xfId="0" applyBorder="1" applyAlignment="1" applyProtection="1">
      <alignment horizontal="left"/>
      <protection hidden="1"/>
    </xf>
    <xf numFmtId="14" fontId="0" fillId="0" borderId="8" xfId="0" applyNumberFormat="1" applyBorder="1" applyAlignment="1" applyProtection="1">
      <alignment horizontal="center"/>
      <protection hidden="1"/>
    </xf>
    <xf numFmtId="164" fontId="0" fillId="0" borderId="12" xfId="0" applyNumberFormat="1" applyBorder="1" applyProtection="1">
      <protection hidden="1"/>
    </xf>
    <xf numFmtId="14" fontId="0" fillId="0" borderId="8" xfId="0" applyNumberFormat="1" applyBorder="1" applyAlignment="1" applyProtection="1">
      <alignment horizontal="left"/>
      <protection hidden="1"/>
    </xf>
    <xf numFmtId="0" fontId="2" fillId="0" borderId="8" xfId="0" applyFont="1" applyBorder="1" applyAlignment="1" applyProtection="1">
      <alignment horizontal="left"/>
      <protection hidden="1"/>
    </xf>
    <xf numFmtId="0" fontId="2" fillId="0" borderId="0" xfId="0" applyFont="1" applyProtection="1">
      <protection hidden="1"/>
    </xf>
    <xf numFmtId="14" fontId="2" fillId="0" borderId="8" xfId="0" applyNumberFormat="1" applyFont="1" applyBorder="1" applyAlignment="1" applyProtection="1">
      <alignment horizontal="center"/>
      <protection hidden="1"/>
    </xf>
    <xf numFmtId="0" fontId="0" fillId="0" borderId="8" xfId="0" applyBorder="1" applyProtection="1">
      <protection hidden="1"/>
    </xf>
    <xf numFmtId="9" fontId="0" fillId="0" borderId="8" xfId="0" applyNumberFormat="1" applyBorder="1" applyAlignment="1" applyProtection="1">
      <alignment horizontal="center"/>
      <protection hidden="1"/>
    </xf>
    <xf numFmtId="164" fontId="2" fillId="0" borderId="12" xfId="0" applyNumberFormat="1" applyFont="1" applyBorder="1" applyProtection="1">
      <protection hidden="1"/>
    </xf>
    <xf numFmtId="0" fontId="8" fillId="0" borderId="8" xfId="0" applyFont="1" applyBorder="1" applyProtection="1">
      <protection hidden="1"/>
    </xf>
    <xf numFmtId="9" fontId="8" fillId="0" borderId="16" xfId="0" applyNumberFormat="1" applyFont="1" applyBorder="1" applyAlignment="1" applyProtection="1">
      <alignment horizontal="center"/>
      <protection hidden="1"/>
    </xf>
    <xf numFmtId="9" fontId="8" fillId="0" borderId="17" xfId="0" applyNumberFormat="1" applyFont="1" applyBorder="1" applyAlignment="1" applyProtection="1">
      <alignment horizontal="center"/>
      <protection hidden="1"/>
    </xf>
    <xf numFmtId="164" fontId="2" fillId="0" borderId="2" xfId="0" applyNumberFormat="1" applyFont="1" applyBorder="1" applyAlignment="1" applyProtection="1">
      <alignment horizontal="center" vertical="top" wrapText="1"/>
      <protection hidden="1"/>
    </xf>
    <xf numFmtId="4" fontId="6" fillId="0" borderId="5" xfId="0" applyNumberFormat="1" applyFont="1" applyBorder="1" applyAlignment="1" applyProtection="1">
      <alignment horizontal="center" vertical="center"/>
      <protection hidden="1"/>
    </xf>
    <xf numFmtId="17" fontId="0" fillId="0" borderId="0" xfId="0" applyNumberFormat="1"/>
    <xf numFmtId="0" fontId="13" fillId="0" borderId="0" xfId="3" applyFont="1" applyAlignment="1">
      <alignment vertical="top" wrapText="1"/>
    </xf>
    <xf numFmtId="165" fontId="20" fillId="0" borderId="0" xfId="4" applyNumberFormat="1" applyAlignment="1">
      <alignment horizontal="left"/>
    </xf>
    <xf numFmtId="14" fontId="0" fillId="0" borderId="0" xfId="0" applyNumberFormat="1" applyProtection="1">
      <protection hidden="1"/>
    </xf>
    <xf numFmtId="0" fontId="7" fillId="5" borderId="0" xfId="0" applyFont="1" applyFill="1" applyProtection="1">
      <protection hidden="1"/>
    </xf>
    <xf numFmtId="0" fontId="21" fillId="5" borderId="0" xfId="0" applyFont="1" applyFill="1" applyProtection="1">
      <protection hidden="1"/>
    </xf>
    <xf numFmtId="165" fontId="0" fillId="0" borderId="24" xfId="0" applyNumberFormat="1" applyBorder="1" applyAlignment="1" applyProtection="1">
      <alignment horizontal="left" vertical="top" wrapText="1"/>
      <protection hidden="1"/>
    </xf>
    <xf numFmtId="164" fontId="2" fillId="0" borderId="25" xfId="0" applyNumberFormat="1" applyFont="1" applyBorder="1" applyAlignment="1" applyProtection="1">
      <alignment horizontal="center" vertical="top" wrapText="1"/>
      <protection hidden="1"/>
    </xf>
    <xf numFmtId="166" fontId="0" fillId="0" borderId="25" xfId="0" applyNumberFormat="1" applyBorder="1" applyAlignment="1" applyProtection="1">
      <alignment horizontal="center" vertical="top" wrapText="1"/>
      <protection hidden="1"/>
    </xf>
    <xf numFmtId="164" fontId="0" fillId="0" borderId="26" xfId="0" applyNumberFormat="1" applyBorder="1" applyAlignment="1" applyProtection="1">
      <alignment vertical="top" wrapText="1"/>
      <protection hidden="1"/>
    </xf>
    <xf numFmtId="164" fontId="2" fillId="0" borderId="27" xfId="0" applyNumberFormat="1" applyFont="1" applyBorder="1" applyAlignment="1" applyProtection="1">
      <alignment vertical="top" wrapText="1"/>
      <protection hidden="1"/>
    </xf>
    <xf numFmtId="165" fontId="0" fillId="0" borderId="28" xfId="0" applyNumberFormat="1" applyBorder="1" applyAlignment="1" applyProtection="1">
      <alignment horizontal="left" vertical="top" wrapText="1"/>
      <protection hidden="1"/>
    </xf>
    <xf numFmtId="164" fontId="2" fillId="0" borderId="29" xfId="0" applyNumberFormat="1" applyFont="1" applyBorder="1" applyAlignment="1" applyProtection="1">
      <alignment vertical="top" wrapText="1"/>
      <protection hidden="1"/>
    </xf>
    <xf numFmtId="165" fontId="2" fillId="0" borderId="30" xfId="0" applyNumberFormat="1" applyFont="1" applyBorder="1" applyAlignment="1" applyProtection="1">
      <alignment horizontal="left" vertical="top" wrapText="1"/>
      <protection hidden="1"/>
    </xf>
    <xf numFmtId="164" fontId="2" fillId="0" borderId="31" xfId="0" applyNumberFormat="1" applyFont="1" applyBorder="1" applyAlignment="1" applyProtection="1">
      <alignment horizontal="center" vertical="top" wrapText="1"/>
      <protection hidden="1"/>
    </xf>
    <xf numFmtId="166" fontId="2" fillId="0" borderId="32" xfId="0" applyNumberFormat="1" applyFont="1" applyBorder="1" applyAlignment="1" applyProtection="1">
      <alignment horizontal="center" vertical="top" wrapText="1"/>
      <protection hidden="1"/>
    </xf>
    <xf numFmtId="164" fontId="2" fillId="0" borderId="33" xfId="0" applyNumberFormat="1" applyFont="1" applyBorder="1" applyAlignment="1" applyProtection="1">
      <alignment vertical="top" wrapText="1"/>
      <protection hidden="1"/>
    </xf>
    <xf numFmtId="164" fontId="2" fillId="0" borderId="34" xfId="0" applyNumberFormat="1" applyFont="1" applyBorder="1" applyAlignment="1" applyProtection="1">
      <alignment vertical="top" wrapText="1"/>
      <protection hidden="1"/>
    </xf>
    <xf numFmtId="0" fontId="20" fillId="0" borderId="0" xfId="4" applyAlignment="1">
      <alignment vertical="center"/>
    </xf>
    <xf numFmtId="49" fontId="5" fillId="2" borderId="23" xfId="0" applyNumberFormat="1" applyFont="1" applyFill="1" applyBorder="1" applyAlignment="1" applyProtection="1">
      <alignment horizontal="left" vertical="center" wrapText="1"/>
      <protection hidden="1"/>
    </xf>
    <xf numFmtId="165" fontId="0" fillId="0" borderId="26" xfId="0" applyNumberFormat="1" applyBorder="1" applyAlignment="1" applyProtection="1">
      <alignment horizontal="left" vertical="top" wrapText="1"/>
      <protection hidden="1"/>
    </xf>
    <xf numFmtId="165" fontId="0" fillId="0" borderId="15" xfId="0" applyNumberFormat="1" applyBorder="1" applyAlignment="1" applyProtection="1">
      <alignment horizontal="left" vertical="top" wrapText="1"/>
      <protection hidden="1"/>
    </xf>
    <xf numFmtId="165" fontId="2" fillId="0" borderId="35" xfId="0" applyNumberFormat="1" applyFont="1" applyBorder="1" applyAlignment="1" applyProtection="1">
      <alignment horizontal="left" vertical="top" wrapText="1"/>
      <protection hidden="1"/>
    </xf>
    <xf numFmtId="0" fontId="0" fillId="0" borderId="0" xfId="0" applyAlignment="1" applyProtection="1">
      <alignment horizontal="center"/>
      <protection hidden="1"/>
    </xf>
    <xf numFmtId="164" fontId="6" fillId="0" borderId="0" xfId="0" applyNumberFormat="1" applyFont="1" applyAlignment="1" applyProtection="1">
      <alignment horizontal="center" vertical="center"/>
      <protection hidden="1"/>
    </xf>
    <xf numFmtId="164" fontId="6" fillId="0" borderId="5" xfId="0" applyNumberFormat="1" applyFont="1" applyBorder="1" applyAlignment="1" applyProtection="1">
      <alignment horizontal="center" vertical="center"/>
      <protection hidden="1"/>
    </xf>
    <xf numFmtId="165" fontId="2" fillId="0" borderId="46" xfId="0" applyNumberFormat="1" applyFont="1" applyBorder="1" applyAlignment="1" applyProtection="1">
      <alignment horizontal="left" vertical="top" wrapText="1"/>
      <protection hidden="1"/>
    </xf>
    <xf numFmtId="164" fontId="2" fillId="0" borderId="47" xfId="0" applyNumberFormat="1" applyFont="1" applyBorder="1" applyAlignment="1" applyProtection="1">
      <alignment horizontal="center" vertical="top" wrapText="1"/>
      <protection hidden="1"/>
    </xf>
    <xf numFmtId="164" fontId="2" fillId="0" borderId="47" xfId="0" applyNumberFormat="1" applyFont="1" applyBorder="1" applyAlignment="1" applyProtection="1">
      <alignment vertical="top" wrapText="1"/>
      <protection hidden="1"/>
    </xf>
    <xf numFmtId="166" fontId="2" fillId="0" borderId="47" xfId="0" applyNumberFormat="1" applyFont="1" applyBorder="1" applyAlignment="1" applyProtection="1">
      <alignment horizontal="center" vertical="top" wrapText="1"/>
      <protection hidden="1"/>
    </xf>
    <xf numFmtId="0" fontId="6" fillId="0" borderId="5" xfId="0" applyFont="1" applyBorder="1" applyAlignment="1" applyProtection="1">
      <alignment horizontal="left" shrinkToFit="1"/>
      <protection hidden="1"/>
    </xf>
    <xf numFmtId="165" fontId="0" fillId="0" borderId="25" xfId="0" applyNumberFormat="1" applyBorder="1" applyAlignment="1" applyProtection="1">
      <alignment horizontal="center" vertical="top" wrapText="1"/>
      <protection hidden="1"/>
    </xf>
    <xf numFmtId="165" fontId="0" fillId="0" borderId="2" xfId="0" applyNumberFormat="1" applyBorder="1" applyAlignment="1" applyProtection="1">
      <alignment horizontal="center" vertical="top" wrapText="1"/>
      <protection hidden="1"/>
    </xf>
    <xf numFmtId="165" fontId="2" fillId="0" borderId="31" xfId="0" applyNumberFormat="1" applyFont="1" applyBorder="1" applyAlignment="1" applyProtection="1">
      <alignment horizontal="center" vertical="top" wrapText="1"/>
      <protection hidden="1"/>
    </xf>
    <xf numFmtId="165" fontId="2" fillId="0" borderId="47" xfId="0" applyNumberFormat="1" applyFont="1" applyBorder="1" applyAlignment="1" applyProtection="1">
      <alignment horizontal="center" vertical="top" wrapText="1"/>
      <protection hidden="1"/>
    </xf>
    <xf numFmtId="165" fontId="2" fillId="0" borderId="46" xfId="0" applyNumberFormat="1" applyFont="1" applyBorder="1" applyAlignment="1" applyProtection="1">
      <alignment horizontal="left" vertical="top" shrinkToFit="1"/>
      <protection hidden="1"/>
    </xf>
    <xf numFmtId="0" fontId="6" fillId="0" borderId="0" xfId="0" applyFont="1" applyAlignment="1" applyProtection="1">
      <alignment horizontal="left"/>
      <protection hidden="1"/>
    </xf>
    <xf numFmtId="164" fontId="2" fillId="0" borderId="2" xfId="0" applyNumberFormat="1" applyFont="1" applyBorder="1" applyAlignment="1" applyProtection="1">
      <alignment horizontal="center" vertical="center" wrapText="1"/>
      <protection hidden="1"/>
    </xf>
    <xf numFmtId="164" fontId="2" fillId="0" borderId="2" xfId="0" applyNumberFormat="1" applyFont="1" applyBorder="1" applyAlignment="1" applyProtection="1">
      <alignment vertical="center" wrapText="1"/>
      <protection hidden="1"/>
    </xf>
    <xf numFmtId="165" fontId="0" fillId="0" borderId="2" xfId="0" applyNumberFormat="1" applyBorder="1" applyAlignment="1" applyProtection="1">
      <alignment horizontal="center" vertical="center" wrapText="1"/>
      <protection hidden="1"/>
    </xf>
    <xf numFmtId="166" fontId="0" fillId="0" borderId="25" xfId="0" applyNumberFormat="1" applyBorder="1" applyAlignment="1" applyProtection="1">
      <alignment horizontal="center" vertical="center" wrapText="1"/>
      <protection hidden="1"/>
    </xf>
    <xf numFmtId="166" fontId="0" fillId="0" borderId="2" xfId="0" applyNumberFormat="1" applyBorder="1" applyAlignment="1" applyProtection="1">
      <alignment horizontal="center" vertical="center" wrapText="1"/>
      <protection hidden="1"/>
    </xf>
    <xf numFmtId="164" fontId="2" fillId="0" borderId="47" xfId="0" applyNumberFormat="1" applyFont="1" applyBorder="1" applyAlignment="1" applyProtection="1">
      <alignment horizontal="center" vertical="center" wrapText="1"/>
      <protection hidden="1"/>
    </xf>
    <xf numFmtId="164" fontId="2" fillId="0" borderId="47" xfId="0" applyNumberFormat="1" applyFont="1" applyBorder="1" applyAlignment="1" applyProtection="1">
      <alignment vertical="center" wrapText="1"/>
      <protection hidden="1"/>
    </xf>
    <xf numFmtId="165" fontId="2" fillId="0" borderId="47" xfId="0" applyNumberFormat="1" applyFont="1" applyBorder="1" applyAlignment="1" applyProtection="1">
      <alignment horizontal="center" vertical="center" wrapText="1"/>
      <protection hidden="1"/>
    </xf>
    <xf numFmtId="166" fontId="2" fillId="0" borderId="47" xfId="0" applyNumberFormat="1" applyFont="1" applyBorder="1" applyAlignment="1" applyProtection="1">
      <alignment horizontal="center" vertical="center" wrapText="1"/>
      <protection hidden="1"/>
    </xf>
    <xf numFmtId="164" fontId="2" fillId="0" borderId="25" xfId="0" applyNumberFormat="1" applyFont="1" applyBorder="1" applyAlignment="1" applyProtection="1">
      <alignment horizontal="center" vertical="center" wrapText="1"/>
      <protection hidden="1"/>
    </xf>
    <xf numFmtId="165" fontId="0" fillId="0" borderId="25" xfId="0" applyNumberFormat="1" applyBorder="1" applyAlignment="1" applyProtection="1">
      <alignment horizontal="center" vertical="center" wrapText="1"/>
      <protection hidden="1"/>
    </xf>
    <xf numFmtId="164" fontId="0" fillId="0" borderId="26" xfId="0" applyNumberFormat="1" applyBorder="1" applyAlignment="1" applyProtection="1">
      <alignment vertical="center" wrapText="1"/>
      <protection hidden="1"/>
    </xf>
    <xf numFmtId="164" fontId="2" fillId="0" borderId="27" xfId="0" applyNumberFormat="1" applyFont="1" applyBorder="1" applyAlignment="1" applyProtection="1">
      <alignment vertical="center" wrapText="1"/>
      <protection hidden="1"/>
    </xf>
    <xf numFmtId="166" fontId="0" fillId="0" borderId="3" xfId="0" applyNumberFormat="1" applyBorder="1" applyAlignment="1" applyProtection="1">
      <alignment horizontal="center" vertical="center" wrapText="1"/>
      <protection hidden="1"/>
    </xf>
    <xf numFmtId="164" fontId="0" fillId="0" borderId="4" xfId="0" applyNumberFormat="1" applyBorder="1" applyAlignment="1" applyProtection="1">
      <alignment vertical="center" wrapText="1"/>
      <protection hidden="1"/>
    </xf>
    <xf numFmtId="164" fontId="2" fillId="0" borderId="29" xfId="0" applyNumberFormat="1" applyFont="1" applyBorder="1" applyAlignment="1" applyProtection="1">
      <alignment vertical="center" wrapText="1"/>
      <protection hidden="1"/>
    </xf>
    <xf numFmtId="164" fontId="2" fillId="0" borderId="31" xfId="0" applyNumberFormat="1" applyFont="1" applyBorder="1" applyAlignment="1" applyProtection="1">
      <alignment horizontal="center" vertical="center" wrapText="1"/>
      <protection hidden="1"/>
    </xf>
    <xf numFmtId="165" fontId="2" fillId="0" borderId="31" xfId="0" applyNumberFormat="1" applyFont="1" applyBorder="1" applyAlignment="1" applyProtection="1">
      <alignment horizontal="center" vertical="center" wrapText="1"/>
      <protection hidden="1"/>
    </xf>
    <xf numFmtId="166" fontId="2" fillId="0" borderId="32" xfId="0" applyNumberFormat="1" applyFont="1" applyBorder="1" applyAlignment="1" applyProtection="1">
      <alignment horizontal="center" vertical="center" wrapText="1"/>
      <protection hidden="1"/>
    </xf>
    <xf numFmtId="164" fontId="2" fillId="0" borderId="33" xfId="0" applyNumberFormat="1" applyFont="1" applyBorder="1" applyAlignment="1" applyProtection="1">
      <alignment vertical="center" wrapText="1"/>
      <protection hidden="1"/>
    </xf>
    <xf numFmtId="164" fontId="2" fillId="0" borderId="34" xfId="0" applyNumberFormat="1" applyFont="1" applyBorder="1" applyAlignment="1" applyProtection="1">
      <alignment vertical="center" wrapText="1"/>
      <protection hidden="1"/>
    </xf>
    <xf numFmtId="165" fontId="0" fillId="10" borderId="15" xfId="0" applyNumberFormat="1" applyFill="1" applyBorder="1" applyAlignment="1" applyProtection="1">
      <alignment horizontal="left" vertical="top" wrapText="1"/>
      <protection hidden="1"/>
    </xf>
    <xf numFmtId="164" fontId="2" fillId="10" borderId="2" xfId="0" applyNumberFormat="1" applyFont="1" applyFill="1" applyBorder="1" applyAlignment="1" applyProtection="1">
      <alignment horizontal="center" vertical="top" wrapText="1"/>
      <protection hidden="1"/>
    </xf>
    <xf numFmtId="165" fontId="0" fillId="10" borderId="2" xfId="0" applyNumberFormat="1" applyFill="1" applyBorder="1" applyAlignment="1" applyProtection="1">
      <alignment horizontal="center" vertical="top" wrapText="1"/>
      <protection hidden="1"/>
    </xf>
    <xf numFmtId="169" fontId="0" fillId="0" borderId="2" xfId="0" applyNumberFormat="1" applyBorder="1" applyAlignment="1" applyProtection="1">
      <alignment horizontal="center" vertical="top" wrapText="1"/>
      <protection hidden="1"/>
    </xf>
    <xf numFmtId="164" fontId="0" fillId="0" borderId="0" xfId="0" applyNumberFormat="1"/>
    <xf numFmtId="167" fontId="0" fillId="10" borderId="2" xfId="1" applyNumberFormat="1" applyFont="1" applyFill="1" applyBorder="1" applyAlignment="1" applyProtection="1">
      <alignment horizontal="center" vertical="top" wrapText="1"/>
      <protection hidden="1"/>
    </xf>
    <xf numFmtId="164" fontId="2" fillId="10" borderId="2" xfId="0" applyNumberFormat="1" applyFont="1" applyFill="1" applyBorder="1" applyAlignment="1" applyProtection="1">
      <alignment vertical="top" wrapText="1"/>
      <protection hidden="1"/>
    </xf>
    <xf numFmtId="169" fontId="0" fillId="10" borderId="2" xfId="0" applyNumberFormat="1" applyFill="1" applyBorder="1" applyAlignment="1" applyProtection="1">
      <alignment horizontal="center" vertical="top" wrapText="1"/>
      <protection hidden="1"/>
    </xf>
    <xf numFmtId="166" fontId="0" fillId="10" borderId="2" xfId="0" applyNumberFormat="1" applyFill="1" applyBorder="1" applyAlignment="1" applyProtection="1">
      <alignment horizontal="center" vertical="top" wrapText="1"/>
      <protection hidden="1"/>
    </xf>
    <xf numFmtId="168" fontId="0" fillId="0" borderId="0" xfId="0" applyNumberFormat="1"/>
    <xf numFmtId="14" fontId="16" fillId="0" borderId="14" xfId="0" applyNumberFormat="1" applyFont="1" applyBorder="1" applyAlignment="1" applyProtection="1">
      <alignment horizontal="center"/>
      <protection hidden="1"/>
    </xf>
    <xf numFmtId="0" fontId="0" fillId="0" borderId="17" xfId="0" applyBorder="1" applyProtection="1">
      <protection hidden="1"/>
    </xf>
    <xf numFmtId="0" fontId="21" fillId="5" borderId="0" xfId="0" applyFont="1" applyFill="1" applyAlignment="1" applyProtection="1">
      <alignment horizontal="right"/>
      <protection hidden="1"/>
    </xf>
    <xf numFmtId="0" fontId="7" fillId="3" borderId="6" xfId="0" applyFont="1" applyFill="1" applyBorder="1" applyProtection="1">
      <protection hidden="1"/>
    </xf>
    <xf numFmtId="0" fontId="7" fillId="3" borderId="7" xfId="0" applyFont="1" applyFill="1" applyBorder="1" applyProtection="1">
      <protection hidden="1"/>
    </xf>
    <xf numFmtId="164" fontId="0" fillId="0" borderId="0" xfId="0" applyNumberFormat="1" applyProtection="1">
      <protection hidden="1"/>
    </xf>
    <xf numFmtId="0" fontId="0" fillId="0" borderId="14" xfId="0" applyBorder="1" applyAlignment="1" applyProtection="1">
      <alignment horizontal="center"/>
      <protection hidden="1"/>
    </xf>
    <xf numFmtId="0" fontId="0" fillId="0" borderId="13" xfId="0" applyBorder="1" applyAlignment="1" applyProtection="1">
      <alignment vertical="top" wrapText="1"/>
      <protection hidden="1"/>
    </xf>
    <xf numFmtId="0" fontId="10" fillId="11" borderId="6" xfId="0" applyFont="1" applyFill="1" applyBorder="1" applyProtection="1">
      <protection hidden="1"/>
    </xf>
    <xf numFmtId="0" fontId="10" fillId="11" borderId="7" xfId="0" applyFont="1" applyFill="1" applyBorder="1" applyAlignment="1" applyProtection="1">
      <alignment horizontal="center"/>
      <protection hidden="1"/>
    </xf>
    <xf numFmtId="0" fontId="10" fillId="11" borderId="9" xfId="0" applyFont="1" applyFill="1" applyBorder="1" applyProtection="1">
      <protection hidden="1"/>
    </xf>
    <xf numFmtId="0" fontId="10" fillId="11" borderId="10" xfId="0" applyFont="1" applyFill="1" applyBorder="1" applyAlignment="1" applyProtection="1">
      <alignment horizontal="center"/>
      <protection hidden="1"/>
    </xf>
    <xf numFmtId="0" fontId="23" fillId="12" borderId="6" xfId="0" applyFont="1" applyFill="1" applyBorder="1" applyProtection="1">
      <protection hidden="1"/>
    </xf>
    <xf numFmtId="164" fontId="23" fillId="12" borderId="7" xfId="0" applyNumberFormat="1" applyFont="1" applyFill="1" applyBorder="1" applyAlignment="1" applyProtection="1">
      <alignment horizontal="center"/>
      <protection hidden="1"/>
    </xf>
    <xf numFmtId="10" fontId="0" fillId="0" borderId="40" xfId="0" applyNumberFormat="1" applyBorder="1" applyAlignment="1" applyProtection="1">
      <alignment horizontal="center" vertical="center"/>
      <protection hidden="1"/>
    </xf>
    <xf numFmtId="164" fontId="0" fillId="0" borderId="41" xfId="0" applyNumberFormat="1" applyBorder="1" applyAlignment="1" applyProtection="1">
      <alignment horizontal="center" vertical="center"/>
      <protection hidden="1"/>
    </xf>
    <xf numFmtId="9" fontId="0" fillId="0" borderId="40" xfId="0" applyNumberFormat="1" applyBorder="1" applyAlignment="1" applyProtection="1">
      <alignment horizontal="center" vertical="center"/>
      <protection hidden="1"/>
    </xf>
    <xf numFmtId="0" fontId="0" fillId="8" borderId="0" xfId="0" applyFill="1" applyProtection="1">
      <protection hidden="1"/>
    </xf>
    <xf numFmtId="0" fontId="2" fillId="0" borderId="0" xfId="0" applyFont="1" applyAlignment="1" applyProtection="1">
      <alignment vertical="center"/>
      <protection hidden="1"/>
    </xf>
    <xf numFmtId="170" fontId="0" fillId="0" borderId="41" xfId="0" applyNumberFormat="1" applyBorder="1" applyAlignment="1" applyProtection="1">
      <alignment horizontal="center" vertical="center"/>
      <protection hidden="1"/>
    </xf>
    <xf numFmtId="165" fontId="24" fillId="13" borderId="25" xfId="0" applyNumberFormat="1" applyFont="1" applyFill="1" applyBorder="1" applyAlignment="1" applyProtection="1">
      <alignment horizontal="center" vertical="center" wrapText="1"/>
      <protection hidden="1"/>
    </xf>
    <xf numFmtId="165" fontId="24" fillId="8" borderId="25" xfId="0" applyNumberFormat="1" applyFont="1" applyFill="1" applyBorder="1" applyAlignment="1" applyProtection="1">
      <alignment horizontal="center" vertical="top" wrapText="1"/>
      <protection hidden="1"/>
    </xf>
    <xf numFmtId="0" fontId="2" fillId="14" borderId="0" xfId="0" applyFont="1" applyFill="1" applyAlignment="1">
      <alignment horizontal="center"/>
    </xf>
    <xf numFmtId="14" fontId="0" fillId="0" borderId="0" xfId="0" applyNumberFormat="1" applyAlignment="1">
      <alignment horizontal="center"/>
    </xf>
    <xf numFmtId="0" fontId="0" fillId="0" borderId="0" xfId="0" applyAlignment="1">
      <alignment horizontal="center"/>
    </xf>
    <xf numFmtId="14" fontId="0" fillId="13" borderId="0" xfId="0" applyNumberFormat="1" applyFill="1" applyAlignment="1">
      <alignment horizontal="center"/>
    </xf>
    <xf numFmtId="17" fontId="25" fillId="15" borderId="52" xfId="0" applyNumberFormat="1" applyFont="1" applyFill="1" applyBorder="1" applyAlignment="1">
      <alignment horizontal="left" vertical="center" wrapText="1"/>
    </xf>
    <xf numFmtId="0" fontId="25" fillId="15" borderId="52" xfId="0" applyFont="1" applyFill="1" applyBorder="1" applyAlignment="1">
      <alignment horizontal="right" vertical="center" wrapText="1"/>
    </xf>
    <xf numFmtId="0" fontId="27" fillId="15" borderId="53" xfId="0" applyFont="1" applyFill="1" applyBorder="1" applyAlignment="1">
      <alignment horizontal="left" vertical="top" wrapText="1" indent="1"/>
    </xf>
    <xf numFmtId="0" fontId="27" fillId="15" borderId="53" xfId="0" applyFont="1" applyFill="1" applyBorder="1" applyAlignment="1">
      <alignment horizontal="center" vertical="top" wrapText="1"/>
    </xf>
    <xf numFmtId="10" fontId="26" fillId="15" borderId="53" xfId="0" applyNumberFormat="1" applyFont="1" applyFill="1" applyBorder="1" applyAlignment="1">
      <alignment horizontal="center" vertical="top" wrapText="1"/>
    </xf>
    <xf numFmtId="164" fontId="0" fillId="0" borderId="10" xfId="0" applyNumberFormat="1" applyBorder="1" applyAlignment="1" applyProtection="1">
      <alignment horizontal="center"/>
      <protection hidden="1"/>
    </xf>
    <xf numFmtId="0" fontId="24" fillId="0" borderId="0" xfId="0" applyFont="1" applyProtection="1">
      <protection hidden="1"/>
    </xf>
    <xf numFmtId="0" fontId="6" fillId="0" borderId="0" xfId="0" applyFont="1" applyAlignment="1" applyProtection="1">
      <alignment horizontal="left" shrinkToFit="1"/>
      <protection hidden="1"/>
    </xf>
    <xf numFmtId="0" fontId="21" fillId="19" borderId="0" xfId="0" applyFont="1" applyFill="1" applyProtection="1">
      <protection hidden="1"/>
    </xf>
    <xf numFmtId="0" fontId="7" fillId="19" borderId="0" xfId="0" applyFont="1" applyFill="1" applyProtection="1">
      <protection hidden="1"/>
    </xf>
    <xf numFmtId="49" fontId="5" fillId="19" borderId="23" xfId="0" applyNumberFormat="1" applyFont="1" applyFill="1" applyBorder="1" applyAlignment="1" applyProtection="1">
      <alignment horizontal="left" vertical="center" wrapText="1"/>
      <protection hidden="1"/>
    </xf>
    <xf numFmtId="49" fontId="6" fillId="19" borderId="1" xfId="0" applyNumberFormat="1" applyFont="1" applyFill="1" applyBorder="1" applyAlignment="1" applyProtection="1">
      <alignment horizontal="center" vertical="center" wrapText="1"/>
      <protection hidden="1"/>
    </xf>
    <xf numFmtId="49" fontId="5" fillId="19" borderId="1" xfId="0" applyNumberFormat="1" applyFont="1" applyFill="1" applyBorder="1" applyAlignment="1" applyProtection="1">
      <alignment horizontal="center" vertical="center" wrapText="1"/>
      <protection hidden="1"/>
    </xf>
    <xf numFmtId="0" fontId="5" fillId="19" borderId="1" xfId="0" applyFont="1" applyFill="1" applyBorder="1" applyAlignment="1" applyProtection="1">
      <alignment horizontal="center" vertical="center" wrapText="1"/>
      <protection hidden="1"/>
    </xf>
    <xf numFmtId="49" fontId="9" fillId="19" borderId="1" xfId="0" applyNumberFormat="1" applyFont="1" applyFill="1" applyBorder="1" applyAlignment="1" applyProtection="1">
      <alignment horizontal="center" vertical="center" wrapText="1"/>
      <protection hidden="1"/>
    </xf>
    <xf numFmtId="0" fontId="21" fillId="19" borderId="0" xfId="0" applyFont="1" applyFill="1" applyAlignment="1" applyProtection="1">
      <alignment horizontal="right"/>
      <protection hidden="1"/>
    </xf>
    <xf numFmtId="0" fontId="0" fillId="19" borderId="0" xfId="0" applyFill="1" applyProtection="1">
      <protection hidden="1"/>
    </xf>
    <xf numFmtId="0" fontId="30" fillId="8" borderId="10" xfId="0" applyFont="1" applyFill="1" applyBorder="1"/>
    <xf numFmtId="0" fontId="30" fillId="8" borderId="11" xfId="0" applyFont="1" applyFill="1" applyBorder="1"/>
    <xf numFmtId="8" fontId="29" fillId="8" borderId="8" xfId="0" applyNumberFormat="1" applyFont="1" applyFill="1" applyBorder="1"/>
    <xf numFmtId="0" fontId="0" fillId="8" borderId="12" xfId="0" applyFill="1" applyBorder="1"/>
    <xf numFmtId="8" fontId="29" fillId="8" borderId="0" xfId="0" applyNumberFormat="1" applyFont="1" applyFill="1"/>
    <xf numFmtId="10" fontId="29" fillId="8" borderId="0" xfId="0" applyNumberFormat="1" applyFont="1" applyFill="1"/>
    <xf numFmtId="8" fontId="29" fillId="8" borderId="12" xfId="0" applyNumberFormat="1" applyFont="1" applyFill="1" applyBorder="1"/>
    <xf numFmtId="8" fontId="0" fillId="8" borderId="0" xfId="0" applyNumberFormat="1" applyFill="1"/>
    <xf numFmtId="9" fontId="29" fillId="8" borderId="0" xfId="0" applyNumberFormat="1" applyFont="1" applyFill="1"/>
    <xf numFmtId="8" fontId="29" fillId="8" borderId="13" xfId="0" applyNumberFormat="1" applyFont="1" applyFill="1" applyBorder="1"/>
    <xf numFmtId="0" fontId="0" fillId="8" borderId="14" xfId="0" applyFill="1" applyBorder="1"/>
    <xf numFmtId="10" fontId="29" fillId="8" borderId="14" xfId="0" applyNumberFormat="1" applyFont="1" applyFill="1" applyBorder="1"/>
    <xf numFmtId="8" fontId="29" fillId="8" borderId="15" xfId="0" applyNumberFormat="1" applyFont="1" applyFill="1" applyBorder="1"/>
    <xf numFmtId="44" fontId="0" fillId="8" borderId="0" xfId="2" applyFont="1" applyFill="1"/>
    <xf numFmtId="44" fontId="0" fillId="8" borderId="0" xfId="0" applyNumberFormat="1" applyFill="1"/>
    <xf numFmtId="9" fontId="22" fillId="8" borderId="1" xfId="0" applyNumberFormat="1" applyFont="1" applyFill="1" applyBorder="1" applyAlignment="1" applyProtection="1">
      <alignment horizontal="center" vertical="center"/>
      <protection hidden="1"/>
    </xf>
    <xf numFmtId="164" fontId="0" fillId="8" borderId="23" xfId="0" applyNumberFormat="1" applyFill="1" applyBorder="1" applyAlignment="1" applyProtection="1">
      <alignment horizontal="center" vertical="center"/>
      <protection hidden="1"/>
    </xf>
    <xf numFmtId="171" fontId="0" fillId="13" borderId="41" xfId="5" applyNumberFormat="1" applyFont="1" applyFill="1" applyBorder="1" applyAlignment="1" applyProtection="1">
      <alignment horizontal="center" vertical="center"/>
      <protection hidden="1"/>
    </xf>
    <xf numFmtId="9" fontId="0" fillId="13" borderId="8" xfId="0" applyNumberFormat="1" applyFill="1" applyBorder="1" applyAlignment="1" applyProtection="1">
      <alignment horizontal="center"/>
      <protection hidden="1"/>
    </xf>
    <xf numFmtId="8" fontId="31" fillId="20" borderId="0" xfId="0" applyNumberFormat="1" applyFont="1" applyFill="1" applyAlignment="1" applyProtection="1">
      <alignment horizontal="center"/>
      <protection hidden="1"/>
    </xf>
    <xf numFmtId="0" fontId="0" fillId="0" borderId="0" xfId="0" applyAlignment="1" applyProtection="1">
      <alignment horizontal="left"/>
      <protection hidden="1"/>
    </xf>
    <xf numFmtId="8" fontId="31" fillId="20" borderId="0" xfId="0" applyNumberFormat="1" applyFont="1" applyFill="1" applyAlignment="1" applyProtection="1">
      <alignment horizontal="left"/>
      <protection hidden="1"/>
    </xf>
    <xf numFmtId="0" fontId="0" fillId="0" borderId="37" xfId="0" applyBorder="1" applyAlignment="1" applyProtection="1">
      <alignment vertical="center"/>
      <protection hidden="1"/>
    </xf>
    <xf numFmtId="164" fontId="0" fillId="0" borderId="39" xfId="0" applyNumberFormat="1" applyBorder="1" applyAlignment="1" applyProtection="1">
      <alignment vertical="center"/>
      <protection hidden="1"/>
    </xf>
    <xf numFmtId="0" fontId="0" fillId="0" borderId="40" xfId="0" applyBorder="1" applyAlignment="1" applyProtection="1">
      <alignment vertical="center"/>
      <protection hidden="1"/>
    </xf>
    <xf numFmtId="164" fontId="0" fillId="0" borderId="41" xfId="0" applyNumberFormat="1" applyBorder="1" applyAlignment="1" applyProtection="1">
      <alignment vertical="center"/>
      <protection hidden="1"/>
    </xf>
    <xf numFmtId="0" fontId="0" fillId="0" borderId="42" xfId="0" applyBorder="1" applyAlignment="1" applyProtection="1">
      <alignment vertical="center"/>
      <protection hidden="1"/>
    </xf>
    <xf numFmtId="164" fontId="0" fillId="0" borderId="44" xfId="0" applyNumberFormat="1" applyBorder="1" applyAlignment="1" applyProtection="1">
      <alignment vertical="center"/>
      <protection hidden="1"/>
    </xf>
    <xf numFmtId="0" fontId="2" fillId="13" borderId="22" xfId="0" applyFont="1" applyFill="1" applyBorder="1" applyAlignment="1" applyProtection="1">
      <alignment vertical="center"/>
      <protection hidden="1"/>
    </xf>
    <xf numFmtId="164" fontId="2" fillId="13" borderId="23" xfId="0" applyNumberFormat="1" applyFont="1" applyFill="1" applyBorder="1" applyAlignment="1" applyProtection="1">
      <alignment vertical="center"/>
      <protection hidden="1"/>
    </xf>
    <xf numFmtId="0" fontId="0" fillId="0" borderId="40" xfId="0" applyBorder="1" applyProtection="1">
      <protection hidden="1"/>
    </xf>
    <xf numFmtId="164" fontId="0" fillId="0" borderId="41" xfId="0" applyNumberFormat="1" applyBorder="1" applyProtection="1">
      <protection hidden="1"/>
    </xf>
    <xf numFmtId="164" fontId="2" fillId="0" borderId="0" xfId="0" applyNumberFormat="1" applyFont="1" applyAlignment="1" applyProtection="1">
      <alignment vertical="center"/>
      <protection hidden="1"/>
    </xf>
    <xf numFmtId="172" fontId="2" fillId="0" borderId="0" xfId="0" applyNumberFormat="1" applyFont="1" applyAlignment="1" applyProtection="1">
      <alignment vertical="center"/>
      <protection hidden="1"/>
    </xf>
    <xf numFmtId="10" fontId="0" fillId="8" borderId="0" xfId="0" applyNumberFormat="1" applyFill="1"/>
    <xf numFmtId="14" fontId="0" fillId="10" borderId="6" xfId="0" applyNumberFormat="1" applyFill="1" applyBorder="1" applyAlignment="1">
      <alignment horizontal="center"/>
    </xf>
    <xf numFmtId="14" fontId="0" fillId="0" borderId="0" xfId="0" applyNumberFormat="1" applyAlignment="1" applyProtection="1">
      <alignment horizontal="left" vertical="center"/>
      <protection hidden="1"/>
    </xf>
    <xf numFmtId="0" fontId="0" fillId="0" borderId="14" xfId="0" applyBorder="1" applyAlignment="1" applyProtection="1">
      <alignment horizontal="left" vertical="center"/>
      <protection hidden="1"/>
    </xf>
    <xf numFmtId="0" fontId="0" fillId="13" borderId="0" xfId="0" applyFill="1"/>
    <xf numFmtId="0" fontId="0" fillId="0" borderId="0" xfId="0" applyAlignment="1">
      <alignment horizontal="left"/>
    </xf>
    <xf numFmtId="164" fontId="0" fillId="8" borderId="0" xfId="2" applyNumberFormat="1" applyFont="1" applyFill="1"/>
    <xf numFmtId="0" fontId="2" fillId="8" borderId="0" xfId="0" applyFont="1" applyFill="1" applyAlignment="1">
      <alignment horizontal="center"/>
    </xf>
    <xf numFmtId="9" fontId="2" fillId="21" borderId="0" xfId="1" applyFont="1" applyFill="1" applyAlignment="1">
      <alignment horizontal="center"/>
    </xf>
    <xf numFmtId="0" fontId="2" fillId="8" borderId="0" xfId="0" applyFont="1" applyFill="1"/>
    <xf numFmtId="44" fontId="2" fillId="8" borderId="0" xfId="0" applyNumberFormat="1" applyFont="1" applyFill="1"/>
    <xf numFmtId="167" fontId="0" fillId="8" borderId="0" xfId="1" applyNumberFormat="1" applyFont="1" applyFill="1"/>
    <xf numFmtId="173" fontId="0" fillId="8" borderId="0" xfId="0" applyNumberFormat="1" applyFill="1"/>
    <xf numFmtId="44" fontId="0" fillId="13" borderId="0" xfId="2" applyFont="1" applyFill="1"/>
    <xf numFmtId="0" fontId="7" fillId="4" borderId="9" xfId="0" applyFont="1" applyFill="1" applyBorder="1" applyProtection="1">
      <protection hidden="1"/>
    </xf>
    <xf numFmtId="0" fontId="7" fillId="4" borderId="10" xfId="0" applyFont="1" applyFill="1" applyBorder="1" applyProtection="1">
      <protection hidden="1"/>
    </xf>
    <xf numFmtId="0" fontId="7" fillId="4" borderId="11" xfId="0" applyFont="1" applyFill="1" applyBorder="1" applyProtection="1">
      <protection hidden="1"/>
    </xf>
    <xf numFmtId="0" fontId="32" fillId="22" borderId="6" xfId="0" applyFont="1" applyFill="1" applyBorder="1" applyAlignment="1" applyProtection="1">
      <alignment horizontal="center"/>
      <protection hidden="1"/>
    </xf>
    <xf numFmtId="0" fontId="32" fillId="22" borderId="7" xfId="0" applyFont="1" applyFill="1" applyBorder="1" applyAlignment="1" applyProtection="1">
      <alignment horizontal="center"/>
      <protection hidden="1"/>
    </xf>
    <xf numFmtId="0" fontId="32" fillId="22" borderId="4" xfId="0" applyFont="1" applyFill="1" applyBorder="1" applyAlignment="1" applyProtection="1">
      <alignment horizontal="center"/>
      <protection hidden="1"/>
    </xf>
    <xf numFmtId="0" fontId="2" fillId="13" borderId="0" xfId="0" applyFont="1" applyFill="1"/>
    <xf numFmtId="44" fontId="33" fillId="13" borderId="0" xfId="0" applyNumberFormat="1" applyFont="1" applyFill="1"/>
    <xf numFmtId="0" fontId="0" fillId="14" borderId="0" xfId="0" applyFill="1"/>
    <xf numFmtId="44" fontId="0" fillId="14" borderId="0" xfId="0" applyNumberFormat="1" applyFill="1"/>
    <xf numFmtId="10" fontId="0" fillId="10" borderId="2" xfId="1" applyNumberFormat="1" applyFont="1" applyFill="1" applyBorder="1" applyAlignment="1" applyProtection="1">
      <alignment horizontal="center" vertical="top" wrapText="1"/>
      <protection hidden="1"/>
    </xf>
    <xf numFmtId="14" fontId="34" fillId="0" borderId="0" xfId="0" applyNumberFormat="1" applyFont="1" applyAlignment="1">
      <alignment horizontal="center"/>
    </xf>
    <xf numFmtId="0" fontId="0" fillId="13" borderId="0" xfId="0" applyFill="1" applyProtection="1">
      <protection hidden="1"/>
    </xf>
    <xf numFmtId="0" fontId="7" fillId="4" borderId="22" xfId="0" applyFont="1" applyFill="1" applyBorder="1" applyAlignment="1" applyProtection="1">
      <alignment horizontal="center"/>
      <protection hidden="1"/>
    </xf>
    <xf numFmtId="0" fontId="7" fillId="4" borderId="23" xfId="0" applyFont="1" applyFill="1" applyBorder="1" applyAlignment="1" applyProtection="1">
      <alignment horizontal="center"/>
      <protection hidden="1"/>
    </xf>
    <xf numFmtId="164" fontId="0" fillId="0" borderId="49" xfId="0" applyNumberFormat="1" applyBorder="1" applyAlignment="1" applyProtection="1">
      <alignment horizontal="center" vertical="center" wrapText="1"/>
      <protection hidden="1"/>
    </xf>
    <xf numFmtId="164" fontId="0" fillId="0" borderId="50" xfId="0" applyNumberFormat="1" applyBorder="1" applyAlignment="1" applyProtection="1">
      <alignment horizontal="center" vertical="center" wrapText="1"/>
      <protection hidden="1"/>
    </xf>
    <xf numFmtId="164" fontId="0" fillId="0" borderId="31" xfId="0" applyNumberFormat="1" applyBorder="1" applyAlignment="1" applyProtection="1">
      <alignment horizontal="center" vertical="center" wrapText="1"/>
      <protection hidden="1"/>
    </xf>
    <xf numFmtId="0" fontId="28" fillId="20" borderId="0" xfId="0" applyFont="1" applyFill="1" applyAlignment="1" applyProtection="1">
      <alignment horizontal="center" vertical="center"/>
      <protection hidden="1"/>
    </xf>
    <xf numFmtId="0" fontId="7" fillId="4" borderId="9" xfId="0" applyFont="1" applyFill="1" applyBorder="1" applyAlignment="1" applyProtection="1">
      <alignment horizontal="center"/>
      <protection hidden="1"/>
    </xf>
    <xf numFmtId="0" fontId="7" fillId="4" borderId="10" xfId="0" applyFont="1" applyFill="1" applyBorder="1" applyAlignment="1" applyProtection="1">
      <alignment horizontal="center"/>
      <protection hidden="1"/>
    </xf>
    <xf numFmtId="0" fontId="7" fillId="4" borderId="11" xfId="0" applyFont="1" applyFill="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11" xfId="0" applyNumberFormat="1" applyBorder="1" applyAlignment="1" applyProtection="1">
      <alignment horizontal="center"/>
      <protection hidden="1"/>
    </xf>
    <xf numFmtId="164" fontId="0" fillId="0" borderId="0" xfId="0" applyNumberFormat="1" applyAlignment="1" applyProtection="1">
      <alignment horizontal="center"/>
      <protection hidden="1"/>
    </xf>
    <xf numFmtId="164" fontId="0" fillId="0" borderId="12" xfId="0" applyNumberFormat="1" applyBorder="1" applyAlignment="1" applyProtection="1">
      <alignment horizontal="center"/>
      <protection hidden="1"/>
    </xf>
    <xf numFmtId="0" fontId="0" fillId="0" borderId="14" xfId="0" applyBorder="1" applyAlignment="1" applyProtection="1">
      <alignment horizontal="center"/>
      <protection hidden="1"/>
    </xf>
    <xf numFmtId="164" fontId="2" fillId="10" borderId="2" xfId="0" applyNumberFormat="1" applyFont="1" applyFill="1" applyBorder="1" applyAlignment="1" applyProtection="1">
      <alignment horizontal="center" vertical="top" wrapText="1"/>
      <protection hidden="1"/>
    </xf>
    <xf numFmtId="164" fontId="2" fillId="10" borderId="13" xfId="0" applyNumberFormat="1" applyFont="1" applyFill="1" applyBorder="1" applyAlignment="1" applyProtection="1">
      <alignment horizontal="center" vertical="top" wrapText="1"/>
      <protection hidden="1"/>
    </xf>
    <xf numFmtId="164" fontId="2" fillId="0" borderId="6" xfId="0" applyNumberFormat="1" applyFont="1" applyBorder="1" applyAlignment="1" applyProtection="1">
      <alignment horizontal="center" vertical="top" wrapText="1"/>
      <protection hidden="1"/>
    </xf>
    <xf numFmtId="164" fontId="2" fillId="0" borderId="7" xfId="0" applyNumberFormat="1" applyFont="1" applyBorder="1" applyAlignment="1" applyProtection="1">
      <alignment horizontal="center" vertical="top" wrapText="1"/>
      <protection hidden="1"/>
    </xf>
    <xf numFmtId="164" fontId="2" fillId="0" borderId="48" xfId="0" applyNumberFormat="1" applyFont="1" applyBorder="1" applyAlignment="1" applyProtection="1">
      <alignment horizontal="center" vertical="top" wrapText="1"/>
      <protection hidden="1"/>
    </xf>
    <xf numFmtId="164" fontId="2" fillId="0" borderId="45" xfId="0" applyNumberFormat="1" applyFont="1" applyBorder="1" applyAlignment="1" applyProtection="1">
      <alignment horizontal="center" vertical="top" wrapText="1"/>
      <protection hidden="1"/>
    </xf>
    <xf numFmtId="164" fontId="6" fillId="0" borderId="5" xfId="0" applyNumberFormat="1" applyFont="1" applyBorder="1" applyAlignment="1" applyProtection="1">
      <alignment horizontal="center" vertical="center"/>
      <protection hidden="1"/>
    </xf>
    <xf numFmtId="0" fontId="28" fillId="17" borderId="0" xfId="0" applyFont="1" applyFill="1" applyAlignment="1" applyProtection="1">
      <alignment horizontal="center" vertical="center"/>
      <protection hidden="1"/>
    </xf>
    <xf numFmtId="0" fontId="0" fillId="0" borderId="15" xfId="0" applyBorder="1" applyAlignment="1" applyProtection="1">
      <alignment horizontal="center"/>
      <protection hidden="1"/>
    </xf>
    <xf numFmtId="0" fontId="10" fillId="11" borderId="7" xfId="0" applyFont="1" applyFill="1" applyBorder="1" applyAlignment="1" applyProtection="1">
      <alignment horizontal="center"/>
      <protection hidden="1"/>
    </xf>
    <xf numFmtId="0" fontId="10" fillId="11" borderId="4" xfId="0" applyFont="1" applyFill="1" applyBorder="1" applyAlignment="1" applyProtection="1">
      <alignment horizontal="center"/>
      <protection hidden="1"/>
    </xf>
    <xf numFmtId="164" fontId="23" fillId="12" borderId="7" xfId="0" applyNumberFormat="1" applyFont="1" applyFill="1" applyBorder="1" applyAlignment="1" applyProtection="1">
      <alignment horizontal="center"/>
      <protection hidden="1"/>
    </xf>
    <xf numFmtId="0" fontId="7" fillId="9" borderId="0" xfId="0" applyFont="1" applyFill="1" applyAlignment="1" applyProtection="1">
      <alignment horizontal="center"/>
      <protection hidden="1"/>
    </xf>
    <xf numFmtId="49" fontId="6" fillId="2" borderId="22" xfId="0" applyNumberFormat="1" applyFont="1" applyFill="1" applyBorder="1" applyAlignment="1" applyProtection="1">
      <alignment horizontal="center" vertical="center" wrapText="1"/>
      <protection hidden="1"/>
    </xf>
    <xf numFmtId="49" fontId="6" fillId="2" borderId="36" xfId="0" applyNumberFormat="1" applyFont="1" applyFill="1" applyBorder="1" applyAlignment="1" applyProtection="1">
      <alignment horizontal="center" vertical="center" wrapText="1"/>
      <protection hidden="1"/>
    </xf>
    <xf numFmtId="14" fontId="0" fillId="0" borderId="49" xfId="0" applyNumberFormat="1" applyBorder="1" applyAlignment="1" applyProtection="1">
      <alignment horizontal="center" vertical="center" wrapText="1"/>
      <protection hidden="1"/>
    </xf>
    <xf numFmtId="14" fontId="0" fillId="0" borderId="50" xfId="0" applyNumberFormat="1" applyBorder="1" applyAlignment="1" applyProtection="1">
      <alignment horizontal="center" vertical="center" wrapText="1"/>
      <protection hidden="1"/>
    </xf>
    <xf numFmtId="14" fontId="0" fillId="0" borderId="51" xfId="0" applyNumberFormat="1" applyBorder="1" applyAlignment="1" applyProtection="1">
      <alignment horizontal="center" vertical="center" wrapText="1"/>
      <protection hidden="1"/>
    </xf>
    <xf numFmtId="167" fontId="0" fillId="0" borderId="49" xfId="1" applyNumberFormat="1" applyFont="1" applyBorder="1" applyAlignment="1" applyProtection="1">
      <alignment horizontal="center" vertical="center" wrapText="1"/>
      <protection hidden="1"/>
    </xf>
    <xf numFmtId="167" fontId="0" fillId="0" borderId="50" xfId="1" applyNumberFormat="1" applyFont="1" applyBorder="1" applyAlignment="1" applyProtection="1">
      <alignment horizontal="center" vertical="center" wrapText="1"/>
      <protection hidden="1"/>
    </xf>
    <xf numFmtId="167" fontId="0" fillId="0" borderId="51" xfId="1" applyNumberFormat="1" applyFont="1" applyBorder="1" applyAlignment="1" applyProtection="1">
      <alignment horizontal="center" vertical="center" wrapText="1"/>
      <protection hidden="1"/>
    </xf>
    <xf numFmtId="164" fontId="2" fillId="0" borderId="2" xfId="0" applyNumberFormat="1" applyFont="1" applyBorder="1" applyAlignment="1" applyProtection="1">
      <alignment horizontal="center" vertical="top" wrapText="1"/>
      <protection hidden="1"/>
    </xf>
    <xf numFmtId="164" fontId="2" fillId="0" borderId="13" xfId="0" applyNumberFormat="1" applyFont="1" applyBorder="1" applyAlignment="1" applyProtection="1">
      <alignment horizontal="center" vertical="top" wrapText="1"/>
      <protection hidden="1"/>
    </xf>
    <xf numFmtId="0" fontId="28" fillId="18" borderId="0" xfId="0" applyFont="1" applyFill="1" applyAlignment="1" applyProtection="1">
      <alignment horizontal="center" vertical="center"/>
      <protection hidden="1"/>
    </xf>
    <xf numFmtId="0" fontId="28" fillId="12" borderId="0" xfId="0" applyFont="1" applyFill="1" applyAlignment="1" applyProtection="1">
      <alignment horizontal="center" vertical="center"/>
      <protection hidden="1"/>
    </xf>
    <xf numFmtId="0" fontId="7" fillId="3" borderId="6" xfId="0" applyFont="1" applyFill="1" applyBorder="1" applyAlignment="1" applyProtection="1">
      <alignment horizontal="left"/>
      <protection hidden="1"/>
    </xf>
    <xf numFmtId="0" fontId="7" fillId="3" borderId="7" xfId="0" applyFont="1" applyFill="1" applyBorder="1" applyAlignment="1" applyProtection="1">
      <alignment horizontal="left"/>
      <protection hidden="1"/>
    </xf>
    <xf numFmtId="0" fontId="0" fillId="0" borderId="13" xfId="0" applyBorder="1" applyAlignment="1" applyProtection="1">
      <alignment horizontal="justify" vertical="top"/>
      <protection hidden="1"/>
    </xf>
    <xf numFmtId="0" fontId="0" fillId="0" borderId="14" xfId="0" applyBorder="1" applyAlignment="1" applyProtection="1">
      <alignment horizontal="justify" vertical="top"/>
      <protection hidden="1"/>
    </xf>
    <xf numFmtId="0" fontId="0" fillId="0" borderId="15" xfId="0" applyBorder="1" applyAlignment="1" applyProtection="1">
      <alignment horizontal="justify" vertical="top"/>
      <protection hidden="1"/>
    </xf>
    <xf numFmtId="0" fontId="10" fillId="11" borderId="10" xfId="0" applyFont="1" applyFill="1" applyBorder="1" applyAlignment="1" applyProtection="1">
      <alignment horizontal="center"/>
      <protection hidden="1"/>
    </xf>
    <xf numFmtId="0" fontId="10" fillId="11" borderId="11" xfId="0" applyFont="1" applyFill="1" applyBorder="1" applyAlignment="1" applyProtection="1">
      <alignment horizontal="center"/>
      <protection hidden="1"/>
    </xf>
    <xf numFmtId="14" fontId="0" fillId="0" borderId="0" xfId="0" applyNumberFormat="1" applyAlignment="1">
      <alignment horizontal="center" wrapText="1"/>
    </xf>
    <xf numFmtId="14" fontId="0" fillId="0" borderId="0" xfId="0" applyNumberFormat="1" applyAlignment="1" applyProtection="1">
      <alignment horizontal="center"/>
      <protection hidden="1"/>
    </xf>
    <xf numFmtId="8" fontId="0" fillId="0" borderId="54" xfId="0" applyNumberFormat="1" applyBorder="1" applyAlignment="1">
      <alignment horizontal="center" wrapText="1"/>
    </xf>
    <xf numFmtId="164" fontId="0" fillId="5" borderId="10" xfId="0" applyNumberFormat="1" applyFill="1" applyBorder="1" applyAlignment="1" applyProtection="1">
      <alignment horizontal="center"/>
      <protection hidden="1"/>
    </xf>
    <xf numFmtId="164" fontId="0" fillId="5" borderId="11" xfId="0" applyNumberFormat="1" applyFill="1" applyBorder="1" applyAlignment="1" applyProtection="1">
      <alignment horizontal="center"/>
      <protection hidden="1"/>
    </xf>
    <xf numFmtId="164" fontId="23" fillId="12" borderId="4" xfId="0" applyNumberFormat="1" applyFont="1" applyFill="1" applyBorder="1" applyAlignment="1" applyProtection="1">
      <alignment horizontal="center"/>
      <protection hidden="1"/>
    </xf>
    <xf numFmtId="164" fontId="2" fillId="0" borderId="2" xfId="0" applyNumberFormat="1" applyFont="1" applyBorder="1" applyAlignment="1" applyProtection="1">
      <alignment horizontal="center" vertical="center" wrapText="1"/>
      <protection hidden="1"/>
    </xf>
    <xf numFmtId="164" fontId="2" fillId="0" borderId="13" xfId="0" applyNumberFormat="1" applyFont="1" applyBorder="1" applyAlignment="1" applyProtection="1">
      <alignment horizontal="center" vertical="center" wrapText="1"/>
      <protection hidden="1"/>
    </xf>
    <xf numFmtId="9" fontId="0" fillId="0" borderId="22" xfId="0" applyNumberFormat="1" applyBorder="1" applyAlignment="1" applyProtection="1">
      <alignment horizontal="center" vertical="center"/>
      <protection hidden="1"/>
    </xf>
    <xf numFmtId="9" fontId="0" fillId="0" borderId="23" xfId="0" applyNumberFormat="1" applyBorder="1" applyAlignment="1" applyProtection="1">
      <alignment horizontal="center" vertical="center"/>
      <protection hidden="1"/>
    </xf>
    <xf numFmtId="49" fontId="6" fillId="2" borderId="23" xfId="0" applyNumberFormat="1" applyFont="1" applyFill="1" applyBorder="1" applyAlignment="1" applyProtection="1">
      <alignment horizontal="center" vertical="center" wrapText="1"/>
      <protection hidden="1"/>
    </xf>
    <xf numFmtId="9" fontId="8" fillId="0" borderId="17" xfId="0" applyNumberFormat="1" applyFont="1" applyBorder="1" applyAlignment="1" applyProtection="1">
      <alignment horizontal="center"/>
      <protection hidden="1"/>
    </xf>
    <xf numFmtId="9" fontId="8" fillId="0" borderId="18" xfId="0" applyNumberFormat="1" applyFont="1" applyBorder="1" applyAlignment="1" applyProtection="1">
      <alignment horizontal="center"/>
      <protection hidden="1"/>
    </xf>
    <xf numFmtId="0" fontId="7" fillId="4" borderId="37" xfId="0" applyFont="1" applyFill="1" applyBorder="1" applyAlignment="1" applyProtection="1">
      <alignment horizontal="center"/>
      <protection hidden="1"/>
    </xf>
    <xf numFmtId="0" fontId="7" fillId="4" borderId="38" xfId="0" applyFont="1" applyFill="1" applyBorder="1" applyAlignment="1" applyProtection="1">
      <alignment horizontal="center"/>
      <protection hidden="1"/>
    </xf>
    <xf numFmtId="0" fontId="7" fillId="4" borderId="39" xfId="0" applyFont="1" applyFill="1" applyBorder="1" applyAlignment="1" applyProtection="1">
      <alignment horizontal="center"/>
      <protection hidden="1"/>
    </xf>
    <xf numFmtId="0" fontId="0" fillId="0" borderId="40" xfId="0" quotePrefix="1" applyBorder="1" applyAlignment="1" applyProtection="1">
      <alignment horizontal="left" vertical="top" wrapText="1"/>
      <protection hidden="1"/>
    </xf>
    <xf numFmtId="0" fontId="0" fillId="0" borderId="0" xfId="0" quotePrefix="1" applyAlignment="1" applyProtection="1">
      <alignment horizontal="left" vertical="top" wrapText="1"/>
      <protection hidden="1"/>
    </xf>
    <xf numFmtId="0" fontId="0" fillId="0" borderId="41" xfId="0" quotePrefix="1" applyBorder="1" applyAlignment="1" applyProtection="1">
      <alignment horizontal="left" vertical="top" wrapText="1"/>
      <protection hidden="1"/>
    </xf>
    <xf numFmtId="0" fontId="0" fillId="0" borderId="43" xfId="0" quotePrefix="1" applyBorder="1" applyAlignment="1" applyProtection="1">
      <alignment horizontal="left" vertical="top" wrapText="1"/>
      <protection hidden="1"/>
    </xf>
    <xf numFmtId="0" fontId="0" fillId="0" borderId="44" xfId="0" quotePrefix="1" applyBorder="1" applyAlignment="1" applyProtection="1">
      <alignment horizontal="left" vertical="top" wrapText="1"/>
      <protection hidden="1"/>
    </xf>
    <xf numFmtId="0" fontId="0" fillId="0" borderId="40" xfId="0" applyBorder="1" applyAlignment="1" applyProtection="1">
      <alignment horizontal="left" vertical="top" wrapText="1"/>
      <protection hidden="1"/>
    </xf>
    <xf numFmtId="0" fontId="0" fillId="0" borderId="0" xfId="0" applyAlignment="1" applyProtection="1">
      <alignment horizontal="left" vertical="top"/>
      <protection hidden="1"/>
    </xf>
    <xf numFmtId="0" fontId="0" fillId="0" borderId="40"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43" xfId="0" applyBorder="1" applyAlignment="1" applyProtection="1">
      <alignment horizontal="left" vertical="top"/>
      <protection hidden="1"/>
    </xf>
    <xf numFmtId="14" fontId="2" fillId="0" borderId="0" xfId="0" applyNumberFormat="1" applyFont="1" applyAlignment="1" applyProtection="1">
      <alignment horizontal="center"/>
      <protection hidden="1"/>
    </xf>
    <xf numFmtId="14" fontId="2" fillId="0" borderId="12" xfId="0" applyNumberFormat="1" applyFont="1" applyBorder="1" applyAlignment="1" applyProtection="1">
      <alignment horizontal="center"/>
      <protection hidden="1"/>
    </xf>
    <xf numFmtId="0" fontId="3" fillId="0" borderId="0" xfId="0" applyFont="1" applyAlignment="1" applyProtection="1">
      <alignment horizontal="center" vertical="center"/>
      <protection hidden="1"/>
    </xf>
    <xf numFmtId="0" fontId="3" fillId="0" borderId="14" xfId="0" applyFont="1" applyBorder="1" applyAlignment="1" applyProtection="1">
      <alignment horizontal="center" vertical="center"/>
      <protection hidden="1"/>
    </xf>
    <xf numFmtId="164" fontId="8" fillId="0" borderId="0" xfId="0" applyNumberFormat="1" applyFont="1" applyAlignment="1" applyProtection="1">
      <alignment horizontal="center"/>
      <protection hidden="1"/>
    </xf>
    <xf numFmtId="164" fontId="8" fillId="0" borderId="12" xfId="0" applyNumberFormat="1" applyFont="1" applyBorder="1" applyAlignment="1" applyProtection="1">
      <alignment horizontal="center"/>
      <protection hidden="1"/>
    </xf>
    <xf numFmtId="0" fontId="7" fillId="3" borderId="8" xfId="0" applyFont="1" applyFill="1" applyBorder="1" applyAlignment="1" applyProtection="1">
      <alignment horizontal="left"/>
      <protection hidden="1"/>
    </xf>
    <xf numFmtId="0" fontId="7" fillId="3" borderId="0" xfId="0" applyFont="1" applyFill="1" applyAlignment="1" applyProtection="1">
      <alignment horizontal="left"/>
      <protection hidden="1"/>
    </xf>
    <xf numFmtId="0" fontId="7" fillId="8" borderId="0" xfId="0" applyFont="1" applyFill="1" applyAlignment="1" applyProtection="1">
      <alignment horizontal="center"/>
      <protection hidden="1"/>
    </xf>
    <xf numFmtId="164" fontId="2" fillId="0" borderId="0" xfId="0" applyNumberFormat="1" applyFont="1" applyAlignment="1" applyProtection="1">
      <alignment horizontal="center"/>
      <protection hidden="1"/>
    </xf>
    <xf numFmtId="164" fontId="2" fillId="0" borderId="12" xfId="0" applyNumberFormat="1" applyFont="1" applyBorder="1" applyAlignment="1" applyProtection="1">
      <alignment horizontal="center"/>
      <protection hidden="1"/>
    </xf>
    <xf numFmtId="0" fontId="28" fillId="16" borderId="0" xfId="0" applyFont="1" applyFill="1" applyAlignment="1" applyProtection="1">
      <alignment horizontal="center" vertical="center"/>
      <protection hidden="1"/>
    </xf>
    <xf numFmtId="0" fontId="17" fillId="0" borderId="0" xfId="0" applyFont="1" applyAlignment="1">
      <alignment horizontal="left" vertical="top" wrapText="1"/>
    </xf>
    <xf numFmtId="0" fontId="0" fillId="0" borderId="0" xfId="0" applyAlignment="1">
      <alignment horizontal="left" vertical="top" wrapText="1"/>
    </xf>
    <xf numFmtId="0" fontId="12" fillId="0" borderId="0" xfId="3" applyFont="1" applyAlignment="1">
      <alignment horizontal="left" vertical="top" wrapText="1"/>
    </xf>
    <xf numFmtId="0" fontId="19" fillId="0" borderId="0" xfId="3" applyFont="1" applyAlignment="1">
      <alignment horizontal="left" vertical="top" wrapText="1"/>
    </xf>
    <xf numFmtId="0" fontId="0" fillId="13" borderId="14" xfId="0" applyFill="1" applyBorder="1" applyAlignment="1">
      <alignment horizontal="center"/>
    </xf>
    <xf numFmtId="0" fontId="30" fillId="8" borderId="9" xfId="0" applyFont="1" applyFill="1" applyBorder="1" applyAlignment="1">
      <alignment horizontal="center"/>
    </xf>
    <xf numFmtId="0" fontId="30" fillId="8" borderId="10" xfId="0" applyFont="1" applyFill="1" applyBorder="1" applyAlignment="1">
      <alignment horizontal="center"/>
    </xf>
  </cellXfs>
  <cellStyles count="10">
    <cellStyle name="Hiperlink" xfId="4" builtinId="8"/>
    <cellStyle name="Moeda" xfId="2" builtinId="4"/>
    <cellStyle name="Moeda 2" xfId="6" xr:uid="{B98D4DC1-74E9-4387-B180-FD840F205D9A}"/>
    <cellStyle name="Moeda 2 2" xfId="9" xr:uid="{E6EFEAC1-087F-40B8-8410-2168967A9F62}"/>
    <cellStyle name="Moeda 3" xfId="7" xr:uid="{8B69DD01-E379-4372-BB9F-21BCC2DF3FF6}"/>
    <cellStyle name="Normal" xfId="0" builtinId="0"/>
    <cellStyle name="Normal 2" xfId="3" xr:uid="{32F461A4-6243-4A53-B189-4743B28FCC72}"/>
    <cellStyle name="Porcentagem" xfId="1" builtinId="5"/>
    <cellStyle name="Vírgula" xfId="5" builtinId="3"/>
    <cellStyle name="Vírgula 2" xfId="8" xr:uid="{FF55F02D-2692-45E2-AD70-928010B83F5C}"/>
  </cellStyles>
  <dxfs count="104">
    <dxf>
      <fill>
        <patternFill>
          <bgColor theme="2"/>
        </patternFill>
      </fill>
    </dxf>
    <dxf>
      <fill>
        <patternFill>
          <bgColor theme="7" tint="0.79998168889431442"/>
        </patternFill>
      </fill>
    </dxf>
    <dxf>
      <fill>
        <patternFill>
          <bgColor theme="2"/>
        </patternFill>
      </fill>
    </dxf>
    <dxf>
      <fill>
        <patternFill>
          <bgColor theme="7" tint="0.79998168889431442"/>
        </patternFill>
      </fill>
    </dxf>
    <dxf>
      <font>
        <color auto="1"/>
      </font>
      <fill>
        <patternFill>
          <bgColor theme="7" tint="0.79998168889431442"/>
        </patternFill>
      </fill>
    </dxf>
    <dxf>
      <font>
        <color auto="1"/>
      </font>
      <fill>
        <patternFill>
          <bgColor theme="0" tint="-0.14996795556505021"/>
        </patternFill>
      </fill>
    </dxf>
    <dxf>
      <font>
        <color auto="1"/>
      </font>
      <fill>
        <patternFill>
          <bgColor theme="7" tint="0.79998168889431442"/>
        </patternFill>
      </fill>
    </dxf>
    <dxf>
      <font>
        <color auto="1"/>
      </font>
      <fill>
        <patternFill>
          <bgColor theme="0" tint="-0.14996795556505021"/>
        </patternFill>
      </fill>
    </dxf>
    <dxf>
      <font>
        <color auto="1"/>
      </font>
      <fill>
        <patternFill>
          <bgColor theme="7" tint="0.79998168889431442"/>
        </patternFill>
      </fill>
    </dxf>
    <dxf>
      <font>
        <color auto="1"/>
      </font>
      <fill>
        <patternFill>
          <bgColor theme="0" tint="-0.14996795556505021"/>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ont>
        <color rgb="FF9C0006"/>
      </font>
      <fill>
        <patternFill>
          <bgColor rgb="FFFFC7CE"/>
        </patternFill>
      </fill>
    </dxf>
    <dxf>
      <font>
        <color rgb="FF006100"/>
      </font>
      <fill>
        <patternFill>
          <bgColor rgb="FFC6EFCE"/>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theme="2"/>
        </patternFill>
      </fill>
    </dxf>
    <dxf>
      <fill>
        <patternFill>
          <bgColor theme="7" tint="0.79998168889431442"/>
        </patternFill>
      </fill>
    </dxf>
    <dxf>
      <fill>
        <patternFill>
          <bgColor theme="7" tint="0.79998168889431442"/>
        </patternFill>
      </fill>
    </dxf>
    <dxf>
      <fill>
        <patternFill>
          <bgColor theme="2"/>
        </patternFill>
      </fill>
    </dxf>
    <dxf>
      <fill>
        <patternFill>
          <bgColor theme="2"/>
        </patternFill>
      </fill>
    </dxf>
    <dxf>
      <fill>
        <patternFill>
          <bgColor theme="7" tint="0.79998168889431442"/>
        </patternFill>
      </fill>
    </dxf>
    <dxf>
      <fill>
        <patternFill>
          <bgColor theme="7" tint="0.79998168889431442"/>
        </patternFill>
      </fill>
    </dxf>
    <dxf>
      <fill>
        <patternFill>
          <bgColor theme="2"/>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
      <fill>
        <patternFill>
          <bgColor rgb="FFE4E4E4"/>
        </patternFill>
      </fill>
    </dxf>
  </dxfs>
  <tableStyles count="1" defaultTableStyle="TableStyleMedium2" defaultPivotStyle="PivotStyleLight16">
    <tableStyle name="Invisible" pivot="0" table="0" count="0" xr9:uid="{22EC4C14-C4A0-4E09-8B99-BD7C39E5B4FE}"/>
  </tableStyles>
  <colors>
    <mruColors>
      <color rgb="FFFF9B9B"/>
      <color rgb="FFC9C9C9"/>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785469</xdr:colOff>
      <xdr:row>9</xdr:row>
      <xdr:rowOff>3386</xdr:rowOff>
    </xdr:to>
    <xdr:pic>
      <xdr:nvPicPr>
        <xdr:cNvPr id="3" name="Imagem 2">
          <a:extLst>
            <a:ext uri="{FF2B5EF4-FFF2-40B4-BE49-F238E27FC236}">
              <a16:creationId xmlns:a16="http://schemas.microsoft.com/office/drawing/2014/main" id="{A4039F33-830E-279E-B096-76DBE75DA9F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4520332" cy="1783291"/>
        </a:xfrm>
        <a:prstGeom prst="rect">
          <a:avLst/>
        </a:prstGeom>
      </xdr:spPr>
    </xdr:pic>
    <xdr:clientData/>
  </xdr:two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tjsp.jus.br/Download/Tabelas/TabelaEmendaConstitucional113-2021.pdf"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tjsp.jus.br/Download/Tabelas/Tabela_IPCA-E.pdf"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debit.com.br/tabelas/tabela-completa.php?indice=poupanc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81386-7D09-437C-BD2A-87262F345E68}">
  <sheetPr>
    <tabColor theme="4"/>
    <pageSetUpPr fitToPage="1"/>
  </sheetPr>
  <dimension ref="A1:P325"/>
  <sheetViews>
    <sheetView showGridLines="0" tabSelected="1" zoomScale="85" zoomScaleNormal="85" zoomScaleSheetLayoutView="70" workbookViewId="0">
      <selection activeCell="D27" sqref="D27:E27"/>
    </sheetView>
  </sheetViews>
  <sheetFormatPr defaultColWidth="9.1796875" defaultRowHeight="14.5"/>
  <cols>
    <col min="1" max="1" width="42.26953125" style="30" customWidth="1"/>
    <col min="2" max="2" width="19.81640625" style="30" customWidth="1"/>
    <col min="3" max="3" width="18.7265625" style="30" customWidth="1"/>
    <col min="4" max="6" width="14.81640625" style="30" customWidth="1"/>
    <col min="7" max="7" width="18.7265625" style="30" customWidth="1"/>
    <col min="8" max="9" width="14.81640625" style="30" customWidth="1"/>
    <col min="10" max="10" width="18.7265625" style="30" customWidth="1"/>
    <col min="11" max="12" width="13" style="30" customWidth="1"/>
    <col min="13" max="13" width="12.81640625" style="30" bestFit="1" customWidth="1"/>
    <col min="14" max="14" width="28.453125" style="30" bestFit="1" customWidth="1"/>
    <col min="15" max="15" width="16" style="30" customWidth="1"/>
    <col min="16" max="17" width="10.81640625" style="30" bestFit="1" customWidth="1"/>
    <col min="18" max="16384" width="9.1796875" style="30"/>
  </cols>
  <sheetData>
    <row r="1" spans="1:15" ht="20.25" customHeight="1">
      <c r="A1" s="322"/>
      <c r="B1" s="322"/>
      <c r="C1" s="322"/>
      <c r="D1" s="322"/>
      <c r="E1" s="322"/>
      <c r="F1" s="322"/>
      <c r="G1" s="322"/>
      <c r="H1" s="322"/>
      <c r="I1" s="322"/>
      <c r="J1" s="322"/>
      <c r="K1" s="322"/>
      <c r="L1" s="322"/>
    </row>
    <row r="2" spans="1:15" ht="15.75" customHeight="1">
      <c r="A2" s="322"/>
      <c r="B2" s="322"/>
      <c r="C2" s="322"/>
      <c r="D2" s="322"/>
      <c r="E2" s="322"/>
      <c r="F2" s="322"/>
      <c r="G2" s="322"/>
      <c r="H2" s="322"/>
      <c r="I2" s="322"/>
      <c r="J2" s="322"/>
      <c r="K2" s="322"/>
      <c r="L2" s="322"/>
    </row>
    <row r="3" spans="1:15" ht="15.75" customHeight="1">
      <c r="A3" s="322"/>
      <c r="B3" s="322"/>
      <c r="C3" s="322"/>
      <c r="D3" s="322"/>
      <c r="E3" s="322"/>
      <c r="F3" s="322"/>
      <c r="G3" s="322"/>
      <c r="H3" s="322"/>
      <c r="I3" s="322"/>
      <c r="J3" s="322"/>
      <c r="K3" s="322"/>
      <c r="L3" s="322"/>
    </row>
    <row r="4" spans="1:15" ht="15.75" customHeight="1">
      <c r="A4" s="322"/>
      <c r="B4" s="322"/>
      <c r="C4" s="322"/>
      <c r="D4" s="322"/>
      <c r="E4" s="322"/>
      <c r="F4" s="322"/>
      <c r="G4" s="322"/>
      <c r="H4" s="322"/>
      <c r="I4" s="322"/>
      <c r="J4" s="322"/>
      <c r="K4" s="322"/>
      <c r="L4" s="322"/>
    </row>
    <row r="5" spans="1:15" ht="15.75" customHeight="1">
      <c r="A5" s="322"/>
      <c r="B5" s="322"/>
      <c r="C5" s="322"/>
      <c r="D5" s="322"/>
      <c r="E5" s="322"/>
      <c r="F5" s="322"/>
      <c r="G5" s="322"/>
      <c r="H5" s="322"/>
      <c r="I5" s="322"/>
      <c r="J5" s="322"/>
      <c r="K5" s="322"/>
      <c r="L5" s="322"/>
    </row>
    <row r="6" spans="1:15" ht="15.75" customHeight="1">
      <c r="A6" s="322"/>
      <c r="B6" s="322"/>
      <c r="C6" s="322"/>
      <c r="D6" s="322"/>
      <c r="E6" s="322"/>
      <c r="F6" s="322"/>
      <c r="G6" s="322"/>
      <c r="H6" s="322"/>
      <c r="I6" s="322"/>
      <c r="J6" s="322"/>
      <c r="K6" s="322"/>
      <c r="L6" s="322"/>
    </row>
    <row r="7" spans="1:15" ht="15.75" customHeight="1">
      <c r="A7" s="322"/>
      <c r="B7" s="322"/>
      <c r="C7" s="322"/>
      <c r="D7" s="322"/>
      <c r="E7" s="322"/>
      <c r="F7" s="322"/>
      <c r="G7" s="322"/>
      <c r="H7" s="322"/>
      <c r="I7" s="322"/>
      <c r="J7" s="322"/>
      <c r="K7" s="322"/>
      <c r="L7" s="322"/>
    </row>
    <row r="8" spans="1:15" ht="15.75" customHeight="1">
      <c r="A8" s="322"/>
      <c r="B8" s="322"/>
      <c r="C8" s="322"/>
      <c r="D8" s="322"/>
      <c r="E8" s="322"/>
      <c r="F8" s="322"/>
      <c r="G8" s="322"/>
      <c r="H8" s="322"/>
      <c r="I8" s="322"/>
      <c r="J8" s="322"/>
      <c r="K8" s="322"/>
      <c r="L8" s="322"/>
    </row>
    <row r="9" spans="1:15" ht="9" customHeight="1">
      <c r="A9" s="323"/>
      <c r="B9" s="323"/>
      <c r="C9" s="323"/>
      <c r="D9" s="323"/>
      <c r="E9" s="323"/>
      <c r="F9" s="323"/>
      <c r="G9" s="323"/>
      <c r="H9" s="323"/>
      <c r="I9" s="323"/>
      <c r="J9" s="323"/>
      <c r="K9" s="323"/>
      <c r="L9" s="323"/>
    </row>
    <row r="10" spans="1:15">
      <c r="A10" s="147" t="s">
        <v>0</v>
      </c>
      <c r="B10" s="148"/>
      <c r="C10" s="148"/>
      <c r="D10" s="148"/>
      <c r="E10" s="148"/>
      <c r="F10" s="148"/>
      <c r="G10" s="148"/>
      <c r="H10" s="148"/>
      <c r="I10" s="148"/>
      <c r="J10" s="148"/>
      <c r="K10" s="148"/>
      <c r="L10" s="148"/>
      <c r="N10" s="30" t="s">
        <v>34</v>
      </c>
    </row>
    <row r="11" spans="1:15">
      <c r="A11" s="34" t="s">
        <v>1</v>
      </c>
      <c r="B11"/>
      <c r="L11" s="35"/>
      <c r="N11" s="30" t="s">
        <v>12</v>
      </c>
      <c r="O11" s="30" t="s">
        <v>35</v>
      </c>
    </row>
    <row r="12" spans="1:15" ht="15.5">
      <c r="A12" s="34" t="s">
        <v>2</v>
      </c>
      <c r="B12" s="225" t="s">
        <v>205</v>
      </c>
      <c r="C12" s="208" t="s">
        <v>174</v>
      </c>
      <c r="L12" s="35"/>
      <c r="N12" s="30" t="s">
        <v>36</v>
      </c>
      <c r="O12" s="79">
        <f>O15</f>
        <v>44530</v>
      </c>
    </row>
    <row r="13" spans="1:15" ht="15.5" hidden="1">
      <c r="A13" s="34" t="s">
        <v>181</v>
      </c>
      <c r="B13" s="247" t="e">
        <f>IF(K306&lt;100000/(1-H310),"sim","não")</f>
        <v>#N/A</v>
      </c>
      <c r="C13" s="208" t="s">
        <v>182</v>
      </c>
      <c r="L13" s="35"/>
      <c r="O13" s="79"/>
    </row>
    <row r="14" spans="1:15">
      <c r="A14" s="34" t="s">
        <v>3</v>
      </c>
      <c r="B14" s="223"/>
      <c r="C14" s="207"/>
      <c r="L14" s="35"/>
      <c r="N14" s="30" t="s">
        <v>37</v>
      </c>
      <c r="O14" s="79">
        <f>O12</f>
        <v>44530</v>
      </c>
    </row>
    <row r="15" spans="1:15">
      <c r="A15" s="34" t="s">
        <v>4</v>
      </c>
      <c r="B15" s="226"/>
      <c r="L15" s="35"/>
      <c r="N15" s="30" t="s">
        <v>119</v>
      </c>
      <c r="O15" s="79">
        <v>44530</v>
      </c>
    </row>
    <row r="16" spans="1:15">
      <c r="A16" s="34" t="s">
        <v>5</v>
      </c>
      <c r="B16" s="226"/>
      <c r="L16" s="35"/>
      <c r="N16" s="66" t="s">
        <v>38</v>
      </c>
    </row>
    <row r="17" spans="1:16">
      <c r="A17" s="34" t="s">
        <v>6</v>
      </c>
      <c r="B17"/>
      <c r="L17" s="35"/>
      <c r="N17" s="30" t="s">
        <v>39</v>
      </c>
    </row>
    <row r="18" spans="1:16">
      <c r="A18" s="36" t="s">
        <v>7</v>
      </c>
      <c r="B18" s="224"/>
      <c r="C18" s="37"/>
      <c r="D18" s="37"/>
      <c r="E18" s="37"/>
      <c r="F18" s="37"/>
      <c r="G18" s="37"/>
      <c r="H18" s="37"/>
      <c r="I18" s="37"/>
      <c r="J18" s="37"/>
      <c r="K18" s="37"/>
      <c r="L18" s="38"/>
      <c r="N18" s="30" t="s">
        <v>40</v>
      </c>
    </row>
    <row r="20" spans="1:16">
      <c r="A20" s="287" t="s">
        <v>8</v>
      </c>
      <c r="B20" s="288"/>
      <c r="C20" s="288"/>
      <c r="D20" s="288"/>
      <c r="E20" s="288"/>
      <c r="F20" s="288"/>
      <c r="G20" s="288"/>
      <c r="H20" s="288"/>
      <c r="I20" s="288"/>
      <c r="J20" s="288"/>
      <c r="K20" s="288"/>
      <c r="L20" s="288"/>
      <c r="N20" s="66" t="s">
        <v>41</v>
      </c>
    </row>
    <row r="21" spans="1:16">
      <c r="A21" s="34" t="s">
        <v>9</v>
      </c>
      <c r="B21"/>
      <c r="L21" s="35"/>
      <c r="N21" s="30" t="s">
        <v>42</v>
      </c>
    </row>
    <row r="22" spans="1:16">
      <c r="A22" s="34" t="s">
        <v>10</v>
      </c>
      <c r="L22" s="35"/>
      <c r="N22" s="30" t="s">
        <v>43</v>
      </c>
    </row>
    <row r="23" spans="1:16">
      <c r="A23" s="289"/>
      <c r="B23" s="290"/>
      <c r="C23" s="290"/>
      <c r="D23" s="290"/>
      <c r="E23" s="290"/>
      <c r="F23" s="290"/>
      <c r="G23" s="290"/>
      <c r="H23" s="290"/>
      <c r="I23" s="290"/>
      <c r="J23" s="290"/>
      <c r="K23" s="290"/>
      <c r="L23" s="291"/>
      <c r="N23" s="30" t="s">
        <v>199</v>
      </c>
      <c r="O23" s="79">
        <v>45869</v>
      </c>
    </row>
    <row r="24" spans="1:16">
      <c r="J24" s="99"/>
    </row>
    <row r="25" spans="1:16">
      <c r="A25" s="32" t="s">
        <v>11</v>
      </c>
      <c r="B25" s="33"/>
      <c r="C25" s="33"/>
      <c r="D25" s="33"/>
      <c r="E25" s="33"/>
      <c r="F25" s="33"/>
      <c r="G25" s="33"/>
      <c r="H25" s="33"/>
      <c r="I25" s="33"/>
      <c r="J25" s="33"/>
      <c r="K25" s="33"/>
      <c r="L25" s="33"/>
      <c r="N25" s="79"/>
    </row>
    <row r="26" spans="1:16">
      <c r="A26" s="154" t="s">
        <v>12</v>
      </c>
      <c r="B26" s="292" t="s">
        <v>13</v>
      </c>
      <c r="C26" s="292"/>
      <c r="D26" s="292" t="s">
        <v>14</v>
      </c>
      <c r="E26" s="292"/>
      <c r="F26" s="292" t="s">
        <v>15</v>
      </c>
      <c r="G26" s="292"/>
      <c r="H26" s="292" t="s">
        <v>16</v>
      </c>
      <c r="I26" s="292"/>
      <c r="J26" s="155" t="s">
        <v>17</v>
      </c>
      <c r="K26" s="292" t="s">
        <v>18</v>
      </c>
      <c r="L26" s="293"/>
    </row>
    <row r="27" spans="1:16" ht="15" customHeight="1">
      <c r="A27" s="34" t="s">
        <v>19</v>
      </c>
      <c r="B27" s="294">
        <v>46142</v>
      </c>
      <c r="C27" s="294"/>
      <c r="D27" s="294">
        <v>46142</v>
      </c>
      <c r="E27" s="294"/>
      <c r="F27" s="294"/>
      <c r="G27" s="294"/>
      <c r="H27" s="295"/>
      <c r="I27" s="295"/>
      <c r="J27" s="246"/>
      <c r="K27" s="40" t="e">
        <f>VLOOKUP(SUM('Datas OCs'!E3:E49),'Datas OCs'!A2:G49,6,0)</f>
        <v>#N/A</v>
      </c>
      <c r="L27" s="41" t="e">
        <f>VLOOKUP(SUM('Datas OCs'!E3:E49),'Datas OCs'!A2:G49,7,0)</f>
        <v>#N/A</v>
      </c>
    </row>
    <row r="28" spans="1:16">
      <c r="A28" s="42"/>
      <c r="B28" s="261"/>
      <c r="C28" s="261"/>
      <c r="D28" s="261"/>
      <c r="E28" s="261"/>
      <c r="F28" s="261"/>
      <c r="G28" s="261"/>
      <c r="H28" s="261"/>
      <c r="I28" s="261"/>
      <c r="J28" s="144">
        <v>3</v>
      </c>
      <c r="K28" s="261" t="str">
        <f>"OC "&amp;SUM('Datas OCs'!E3:E49)</f>
        <v>OC 0</v>
      </c>
      <c r="L28" s="270"/>
      <c r="N28" s="79"/>
      <c r="P28" s="79"/>
    </row>
    <row r="29" spans="1:16">
      <c r="P29" s="79"/>
    </row>
    <row r="30" spans="1:16">
      <c r="A30" s="43" t="s">
        <v>20</v>
      </c>
      <c r="B30" s="44"/>
      <c r="C30" s="44"/>
      <c r="D30" s="44"/>
      <c r="E30" s="44"/>
      <c r="F30" s="44"/>
      <c r="G30" s="44"/>
      <c r="H30" s="44"/>
      <c r="I30" s="44"/>
      <c r="J30" s="44"/>
      <c r="K30" s="44"/>
      <c r="L30" s="44"/>
    </row>
    <row r="31" spans="1:16" ht="15" thickBot="1">
      <c r="A31" s="152"/>
      <c r="B31" s="271" t="s">
        <v>21</v>
      </c>
      <c r="C31" s="271"/>
      <c r="D31" s="271" t="s">
        <v>22</v>
      </c>
      <c r="E31" s="271"/>
      <c r="F31" s="153" t="s">
        <v>118</v>
      </c>
      <c r="G31" s="271" t="s">
        <v>23</v>
      </c>
      <c r="H31" s="271"/>
      <c r="I31" s="153" t="s">
        <v>44</v>
      </c>
      <c r="J31" s="153" t="s">
        <v>113</v>
      </c>
      <c r="K31" s="271" t="s">
        <v>24</v>
      </c>
      <c r="L31" s="272"/>
    </row>
    <row r="32" spans="1:16" ht="15" customHeight="1">
      <c r="A32" s="45"/>
      <c r="B32" s="296">
        <v>0</v>
      </c>
      <c r="C32" s="296"/>
      <c r="D32" s="296">
        <v>0</v>
      </c>
      <c r="E32" s="296"/>
      <c r="F32" s="175">
        <v>0</v>
      </c>
      <c r="G32" s="297">
        <f>SUM(B32:F32)</f>
        <v>0</v>
      </c>
      <c r="H32" s="297"/>
      <c r="I32" s="257">
        <v>0</v>
      </c>
      <c r="J32" s="257"/>
      <c r="K32" s="297">
        <f>G32-I32-J32</f>
        <v>0</v>
      </c>
      <c r="L32" s="298"/>
    </row>
    <row r="33" spans="1:14">
      <c r="A33" s="151"/>
      <c r="B33" s="261"/>
      <c r="C33" s="261"/>
      <c r="D33" s="261"/>
      <c r="E33" s="261"/>
      <c r="F33" s="150"/>
      <c r="G33" s="261"/>
      <c r="H33" s="261"/>
      <c r="I33" s="261"/>
      <c r="J33" s="261"/>
      <c r="K33" s="261"/>
      <c r="L33" s="270"/>
    </row>
    <row r="35" spans="1:14">
      <c r="A35" s="152" t="s">
        <v>25</v>
      </c>
      <c r="B35" s="153"/>
      <c r="C35" s="271" t="s">
        <v>21</v>
      </c>
      <c r="D35" s="271"/>
      <c r="E35" s="271" t="s">
        <v>22</v>
      </c>
      <c r="F35" s="271"/>
      <c r="G35" s="271" t="s">
        <v>23</v>
      </c>
      <c r="H35" s="271"/>
      <c r="I35" s="271" t="s">
        <v>26</v>
      </c>
      <c r="J35" s="271"/>
      <c r="K35" s="271" t="s">
        <v>24</v>
      </c>
      <c r="L35" s="272"/>
    </row>
    <row r="36" spans="1:14">
      <c r="A36" s="156"/>
      <c r="B36" s="157"/>
      <c r="C36" s="273">
        <v>0</v>
      </c>
      <c r="D36" s="273"/>
      <c r="E36" s="273">
        <v>0</v>
      </c>
      <c r="F36" s="273"/>
      <c r="G36" s="273">
        <f>C36+E36</f>
        <v>0</v>
      </c>
      <c r="H36" s="273"/>
      <c r="I36" s="273">
        <v>0</v>
      </c>
      <c r="J36" s="273"/>
      <c r="K36" s="273">
        <f>G36-I36</f>
        <v>0</v>
      </c>
      <c r="L36" s="299"/>
    </row>
    <row r="37" spans="1:14">
      <c r="I37" s="46"/>
      <c r="J37" s="46"/>
    </row>
    <row r="38" spans="1:14" ht="27.75" customHeight="1">
      <c r="A38" s="331" t="s">
        <v>160</v>
      </c>
      <c r="B38" s="331"/>
      <c r="C38" s="331"/>
      <c r="D38" s="331"/>
      <c r="E38" s="331"/>
      <c r="F38" s="331"/>
      <c r="G38" s="331"/>
      <c r="H38" s="331"/>
      <c r="I38" s="331"/>
      <c r="J38" s="331"/>
      <c r="K38" s="331"/>
      <c r="L38" s="331"/>
    </row>
    <row r="39" spans="1:14">
      <c r="A39" s="274" t="s">
        <v>157</v>
      </c>
      <c r="B39" s="274"/>
      <c r="C39" s="274"/>
      <c r="D39" s="274"/>
      <c r="E39" s="274"/>
      <c r="F39" s="274"/>
      <c r="G39" s="274"/>
      <c r="H39" s="274"/>
      <c r="I39" s="274"/>
      <c r="J39" s="274"/>
      <c r="K39" s="274"/>
      <c r="L39" s="274"/>
    </row>
    <row r="40" spans="1:14" ht="15" thickBot="1">
      <c r="A40" s="81" t="s">
        <v>45</v>
      </c>
      <c r="B40" s="80"/>
      <c r="C40" s="80"/>
      <c r="D40" s="80"/>
      <c r="E40" s="80"/>
      <c r="F40" s="80"/>
      <c r="G40" s="80"/>
      <c r="H40" s="80"/>
      <c r="I40" s="80"/>
      <c r="J40" s="80"/>
      <c r="K40" s="80"/>
      <c r="L40" s="146" t="s">
        <v>39</v>
      </c>
    </row>
    <row r="41" spans="1:14" ht="39.5" thickBot="1">
      <c r="A41" s="95" t="s">
        <v>12</v>
      </c>
      <c r="B41" s="48" t="s">
        <v>46</v>
      </c>
      <c r="C41" s="49" t="s">
        <v>47</v>
      </c>
      <c r="D41" s="50" t="s">
        <v>48</v>
      </c>
      <c r="E41" s="50" t="s">
        <v>49</v>
      </c>
      <c r="F41" s="50" t="s">
        <v>50</v>
      </c>
      <c r="G41" s="48" t="s">
        <v>51</v>
      </c>
      <c r="H41" s="51" t="s">
        <v>52</v>
      </c>
      <c r="I41" s="51" t="s">
        <v>53</v>
      </c>
      <c r="J41" s="48" t="s">
        <v>54</v>
      </c>
      <c r="N41" s="79"/>
    </row>
    <row r="42" spans="1:14">
      <c r="A42" s="96" t="s">
        <v>55</v>
      </c>
      <c r="B42" s="83">
        <f>IF(B32&lt;&gt;"",B32,"")</f>
        <v>0</v>
      </c>
      <c r="C42" s="107">
        <f>F27</f>
        <v>0</v>
      </c>
      <c r="D42" s="84" t="e">
        <f>IF(C42="",1,VLOOKUP(C42,IF(OR($L$40="",$L$40="TAB DEPRE IPCAE"),TABIPCATJSP,TABELADEPRESP),2,1))</f>
        <v>#N/A</v>
      </c>
      <c r="E42" s="107" t="e">
        <f>IF(AND(IF(F27&gt;O15,F27,IF(K27&gt;O15,O15,K27-5))&gt;H27,H27&lt;&gt;""),H27,IF(F27&gt;O15,F27,IF(K27&gt;O15,O15,K27-5)))</f>
        <v>#N/A</v>
      </c>
      <c r="F42" s="84" t="e">
        <f>IF(E42="",1,VLOOKUP(E42,IF(OR($L$40="",$L$40="TAB DEPRE IPCAE"),TABIPCATJSP,TABELADEPRESP),2,1))</f>
        <v>#N/A</v>
      </c>
      <c r="G42" s="83" t="e">
        <f>IF(B42="","",(B42/D42)*F42)</f>
        <v>#N/A</v>
      </c>
      <c r="H42" s="85">
        <f>IF(OR(B42="",I32=""),"",$I$32)</f>
        <v>0</v>
      </c>
      <c r="I42" s="85" t="e">
        <f>IF(H42="","",(H42/D42)*F42)</f>
        <v>#N/A</v>
      </c>
      <c r="J42" s="86" t="e">
        <f>IF(G42="","",G42-I42)</f>
        <v>#N/A</v>
      </c>
    </row>
    <row r="43" spans="1:14">
      <c r="A43" s="97" t="e">
        <f>"Pagamento sobre Principal"&amp;IF(G43="","","-"&amp;$A$36)</f>
        <v>#N/A</v>
      </c>
      <c r="B43" s="74"/>
      <c r="C43" s="108" t="e">
        <f>IF(G43&lt;&gt;"",EOMONTH($F$27,0),"")</f>
        <v>#N/A</v>
      </c>
      <c r="D43" s="53" t="e">
        <f>IF(C43="",1,VLOOKUP(C43,IF(OR($L$40="",$L$40="TAB DEPRE IPCAE"),TABIPCATJSP,TABELADEPRESP),2,1))</f>
        <v>#N/A</v>
      </c>
      <c r="E43" s="108" t="e">
        <f>E42</f>
        <v>#N/A</v>
      </c>
      <c r="F43" s="53" t="e">
        <f>IF(E42="",1,VLOOKUP(E42,IF(OR($L$40="",$L$40="TAB DEPRE IPCAE"),TABIPCATJSP,TABELADEPRESP),2,1))</f>
        <v>#N/A</v>
      </c>
      <c r="G43" s="113" t="e">
        <f>IF(AND(MONTH(E42)=MONTH($H$27),YEAR(E42)=YEAR($H$27)),-$C$36,0)</f>
        <v>#N/A</v>
      </c>
      <c r="H43" s="54"/>
      <c r="I43" s="54" t="e">
        <f>IF(OR(G43=0,$I$36=""),0,$I$36*-1)</f>
        <v>#N/A</v>
      </c>
      <c r="J43" s="88" t="e">
        <f>IF(G43="","",G43-I43)</f>
        <v>#N/A</v>
      </c>
    </row>
    <row r="44" spans="1:14" ht="15" thickBot="1">
      <c r="A44" s="98" t="s">
        <v>56</v>
      </c>
      <c r="B44" s="90"/>
      <c r="C44" s="109"/>
      <c r="D44" s="91"/>
      <c r="E44" s="109"/>
      <c r="F44" s="91"/>
      <c r="G44" s="90" t="e">
        <f>G42+G43</f>
        <v>#N/A</v>
      </c>
      <c r="H44" s="92"/>
      <c r="I44" s="90" t="e">
        <f>I42+I43</f>
        <v>#N/A</v>
      </c>
      <c r="J44" s="93" t="e">
        <f>IF(J43="",J42,G44-I44)</f>
        <v>#N/A</v>
      </c>
    </row>
    <row r="45" spans="1:14" ht="16" thickBot="1">
      <c r="A45" s="106" t="s">
        <v>57</v>
      </c>
      <c r="B45" s="101" t="str">
        <f>IF(B44="","",B44)</f>
        <v/>
      </c>
      <c r="C45" s="75"/>
      <c r="D45" s="75"/>
      <c r="E45" s="75"/>
      <c r="F45" s="75"/>
      <c r="G45" s="101" t="e">
        <f>IF(G44="","",G44)</f>
        <v>#N/A</v>
      </c>
      <c r="H45" s="75"/>
      <c r="I45" s="75" t="e">
        <f>I44</f>
        <v>#N/A</v>
      </c>
      <c r="J45" s="101" t="e">
        <f>IF(J44="","",J44)</f>
        <v>#N/A</v>
      </c>
      <c r="L45" s="31"/>
    </row>
    <row r="46" spans="1:14" ht="9" customHeight="1" thickTop="1"/>
    <row r="47" spans="1:14" ht="15" thickBot="1">
      <c r="A47" s="81" t="s">
        <v>58</v>
      </c>
      <c r="B47" s="80"/>
      <c r="C47" s="80"/>
      <c r="D47" s="80"/>
      <c r="E47" s="80"/>
      <c r="F47" s="80"/>
      <c r="G47" s="80"/>
      <c r="H47" s="80"/>
      <c r="I47" s="80"/>
      <c r="J47" s="80"/>
      <c r="K47" s="80"/>
      <c r="L47" s="146" t="s">
        <v>39</v>
      </c>
    </row>
    <row r="48" spans="1:14" ht="31.5" thickBot="1">
      <c r="A48" s="95" t="s">
        <v>12</v>
      </c>
      <c r="B48" s="48" t="s">
        <v>59</v>
      </c>
      <c r="C48" s="49" t="s">
        <v>60</v>
      </c>
      <c r="D48" s="49" t="s">
        <v>61</v>
      </c>
      <c r="E48" s="50" t="s">
        <v>62</v>
      </c>
      <c r="F48" s="58" t="s">
        <v>63</v>
      </c>
      <c r="G48" s="49" t="s">
        <v>64</v>
      </c>
      <c r="H48" s="49" t="s">
        <v>65</v>
      </c>
      <c r="I48" s="49" t="s">
        <v>66</v>
      </c>
      <c r="J48" s="49" t="s">
        <v>67</v>
      </c>
      <c r="K48" s="275" t="s">
        <v>68</v>
      </c>
      <c r="L48" s="276"/>
    </row>
    <row r="49" spans="1:12">
      <c r="A49" s="97" t="s">
        <v>69</v>
      </c>
      <c r="B49" s="74">
        <f>IF(D32&lt;&gt;"",D32,"")</f>
        <v>0</v>
      </c>
      <c r="C49" s="277" t="s">
        <v>70</v>
      </c>
      <c r="D49" s="277" t="s">
        <v>70</v>
      </c>
      <c r="E49" s="280" t="s">
        <v>70</v>
      </c>
      <c r="F49" s="59">
        <f>IF(B49="","",B49)</f>
        <v>0</v>
      </c>
      <c r="G49" s="108" t="e">
        <f>IF(OR($F$27&lt;$O$14,$K$27&lt;$O$14),EOMONTH($F$27,0),H49)</f>
        <v>#N/A</v>
      </c>
      <c r="H49" s="108" t="e">
        <f>E42</f>
        <v>#N/A</v>
      </c>
      <c r="I49" s="84" t="e">
        <f>IF(G49="",1,VLOOKUP(G49,IF(OR($L$47="",$L$47="TAB DEPRE IPCAE"),TABIPCATJSP,TABELADEPRESP),2,1))</f>
        <v>#N/A</v>
      </c>
      <c r="J49" s="84" t="e">
        <f>IF(H49="",1,VLOOKUP(H49,IF(OR($L$47="",$L$47="TAB DEPRE IPCAE"),TABIPCATJSP,TABELADEPRESP),2,1))</f>
        <v>#N/A</v>
      </c>
      <c r="K49" s="283" t="e">
        <f>IF(F49="","",(F49/I49)*J49)</f>
        <v>#N/A</v>
      </c>
      <c r="L49" s="284"/>
    </row>
    <row r="50" spans="1:12">
      <c r="A50" s="97" t="str">
        <f>"Pagamento sobre Juros"&amp;IF(F50="","","-"&amp;$A$36)</f>
        <v>Pagamento sobre Juros</v>
      </c>
      <c r="B50" s="74"/>
      <c r="C50" s="278"/>
      <c r="D50" s="278"/>
      <c r="E50" s="281"/>
      <c r="F50" s="59"/>
      <c r="G50" s="108"/>
      <c r="H50" s="108"/>
      <c r="I50" s="60"/>
      <c r="J50" s="60"/>
      <c r="K50" s="264" t="e">
        <f>IF(E42=$H$27,-$E$36,0)</f>
        <v>#N/A</v>
      </c>
      <c r="L50" s="265"/>
    </row>
    <row r="51" spans="1:12" ht="15" thickBot="1">
      <c r="A51" s="102" t="s">
        <v>71</v>
      </c>
      <c r="B51" s="103"/>
      <c r="C51" s="279"/>
      <c r="D51" s="279"/>
      <c r="E51" s="282"/>
      <c r="F51" s="104"/>
      <c r="G51" s="110" t="str">
        <f>IF(H50="","",EOMONTH(H50,0))</f>
        <v/>
      </c>
      <c r="H51" s="110" t="str">
        <f>IF(H50="","",MIN(EOMONTH(D27,0),EOMONTH($O$14,0),EOMONTH($K$27,0)))</f>
        <v/>
      </c>
      <c r="I51" s="105"/>
      <c r="J51" s="105"/>
      <c r="K51" s="266" t="e">
        <f>K49+K50</f>
        <v>#N/A</v>
      </c>
      <c r="L51" s="267"/>
    </row>
    <row r="52" spans="1:12" ht="15.5" thickTop="1" thickBot="1">
      <c r="A52" s="134" t="s">
        <v>72</v>
      </c>
      <c r="B52" s="135">
        <f>B42</f>
        <v>0</v>
      </c>
      <c r="C52" s="136">
        <f>IF(B52="","",EOMONTH(C42,1))</f>
        <v>59</v>
      </c>
      <c r="D52" s="136" t="e">
        <f>IF(C52&gt;E42,C52,EOMONTH(E42,0))</f>
        <v>#N/A</v>
      </c>
      <c r="E52" s="139" t="e">
        <f>IF(C52=D52,0,IF(C52="","",SUM(INDEX('(01.3) POUPANCA'!B8:B312,MATCH(C52,'(01.3) POUPANCA'!A8:A312,0),1):INDEX('(01.3) POUPANCA'!B8:B312,MATCH(D52,'(01.3) POUPANCA'!A8:A312,0),1))))</f>
        <v>#N/A</v>
      </c>
      <c r="F52" s="140" t="e">
        <f>IF(B52="","",B52*E52)</f>
        <v>#N/A</v>
      </c>
      <c r="G52" s="136" t="e">
        <f>IF(C52="","",EOMONTH(G49,0))</f>
        <v>#N/A</v>
      </c>
      <c r="H52" s="136" t="e">
        <f>IF(D52="","",EOMONTH(D52,0))</f>
        <v>#N/A</v>
      </c>
      <c r="I52" s="141" t="e">
        <f>IF(G52="",1,VLOOKUP(G52,IF(OR($L$47="",$L$47="TAB DEPRE IPCAE"),TABIPCATJSP,TABELADEPRESP),2,1))</f>
        <v>#N/A</v>
      </c>
      <c r="J52" s="142" t="e">
        <f>IF(H52="",1,VLOOKUP(H52,IF(OR($L$47="",$L$47="TAB DEPRE IPCAE"),TABIPCATJSP,TABELADEPRESP),2,1))</f>
        <v>#N/A</v>
      </c>
      <c r="K52" s="262" t="e">
        <f>IF(F52="","",(F52/I52)*J52)</f>
        <v>#N/A</v>
      </c>
      <c r="L52" s="263"/>
    </row>
    <row r="53" spans="1:12" ht="16" thickBot="1">
      <c r="A53" s="55" t="s">
        <v>73</v>
      </c>
      <c r="B53" s="75"/>
      <c r="C53" s="75"/>
      <c r="D53" s="75"/>
      <c r="E53" s="75"/>
      <c r="F53" s="75"/>
      <c r="G53" s="75"/>
      <c r="H53" s="75"/>
      <c r="I53" s="75"/>
      <c r="J53" s="75"/>
      <c r="K53" s="268" t="e">
        <f>IF(K51="","",SUM(K51:L52))</f>
        <v>#N/A</v>
      </c>
      <c r="L53" s="268"/>
    </row>
    <row r="54" spans="1:12" ht="7.5" customHeight="1" thickTop="1">
      <c r="A54" s="56"/>
      <c r="B54" s="57"/>
      <c r="C54" s="57"/>
      <c r="D54" s="57"/>
      <c r="E54" s="57"/>
      <c r="F54" s="57"/>
      <c r="G54" s="57"/>
      <c r="H54" s="57"/>
      <c r="I54" s="57"/>
      <c r="J54" s="57"/>
    </row>
    <row r="55" spans="1:12" ht="7.5" customHeight="1">
      <c r="A55" s="56"/>
      <c r="B55" s="57"/>
      <c r="C55" s="57"/>
      <c r="D55" s="57"/>
      <c r="E55" s="57"/>
      <c r="F55" s="57"/>
      <c r="G55" s="57"/>
      <c r="H55" s="57"/>
      <c r="I55" s="57"/>
      <c r="J55" s="57"/>
    </row>
    <row r="56" spans="1:12">
      <c r="A56" s="274" t="s">
        <v>158</v>
      </c>
      <c r="B56" s="274"/>
      <c r="C56" s="274"/>
      <c r="D56" s="274"/>
      <c r="E56" s="274"/>
      <c r="F56" s="274"/>
      <c r="G56" s="274"/>
      <c r="H56" s="274"/>
      <c r="I56" s="274"/>
      <c r="J56" s="274"/>
      <c r="K56" s="274"/>
      <c r="L56" s="274"/>
    </row>
    <row r="57" spans="1:12" ht="15" thickBot="1">
      <c r="A57" s="81" t="s">
        <v>45</v>
      </c>
      <c r="B57" s="80"/>
      <c r="C57" s="80"/>
      <c r="D57" s="80"/>
      <c r="E57" s="80"/>
      <c r="F57" s="80"/>
      <c r="G57" s="80"/>
      <c r="H57" s="80"/>
      <c r="I57" s="80"/>
      <c r="J57" s="80"/>
      <c r="K57" s="80"/>
      <c r="L57" s="146" t="s">
        <v>39</v>
      </c>
    </row>
    <row r="58" spans="1:12" ht="39.5" thickBot="1">
      <c r="A58" s="95" t="s">
        <v>12</v>
      </c>
      <c r="B58" s="48" t="s">
        <v>46</v>
      </c>
      <c r="C58" s="49" t="s">
        <v>47</v>
      </c>
      <c r="D58" s="50" t="s">
        <v>48</v>
      </c>
      <c r="E58" s="50" t="s">
        <v>49</v>
      </c>
      <c r="F58" s="50" t="s">
        <v>50</v>
      </c>
      <c r="G58" s="48" t="s">
        <v>51</v>
      </c>
      <c r="H58" s="51" t="s">
        <v>52</v>
      </c>
      <c r="I58" s="51" t="s">
        <v>53</v>
      </c>
      <c r="J58" s="48" t="s">
        <v>54</v>
      </c>
    </row>
    <row r="59" spans="1:12">
      <c r="A59" s="96" t="s">
        <v>55</v>
      </c>
      <c r="B59" s="83" t="e">
        <f>G45</f>
        <v>#N/A</v>
      </c>
      <c r="C59" s="107" t="e">
        <f>IF($H$27&lt;&gt;"",E42,H49)</f>
        <v>#N/A</v>
      </c>
      <c r="D59" s="84" t="e">
        <f>IF(C59="",1,VLOOKUP(C59,IF(OR($L$57="",$L$57="TAB DEPRE IPCAE"),TABIPCATJSP,TABELADEPRESP),2,1))</f>
        <v>#N/A</v>
      </c>
      <c r="E59" s="107" t="e">
        <f>IF(G43=0,C59,IF($F$27&gt;$O$15,$F$27,IF($H$27&lt;&gt;"",IF($K$27&gt;$O$15,$O$15,$K$27-5),IF($H$27&gt;$K$27,$H$27,MIN($H$27,$K$27-5)))))</f>
        <v>#N/A</v>
      </c>
      <c r="F59" s="84" t="e">
        <f>IF(E59="",1,VLOOKUP(E59,IF(OR($L$40="",$L$40="TAB DEPRE IPCAE"),TABIPCATJSP,TABELADEPRESP),2,1))</f>
        <v>#N/A</v>
      </c>
      <c r="G59" s="83" t="e">
        <f>IF(B59="","",(B59/D59)*F59)</f>
        <v>#N/A</v>
      </c>
      <c r="H59" s="85" t="e">
        <f>I45</f>
        <v>#N/A</v>
      </c>
      <c r="I59" s="85" t="e">
        <f>IF(H59="","",(H59/D59)*F59)</f>
        <v>#N/A</v>
      </c>
      <c r="J59" s="86" t="e">
        <f>IF(G59="","",G59-I59)</f>
        <v>#N/A</v>
      </c>
    </row>
    <row r="60" spans="1:12">
      <c r="A60" s="97" t="e">
        <f>"Pagamento sobre Principal"&amp;IF(G60="","","-"&amp;$A$36)</f>
        <v>#N/A</v>
      </c>
      <c r="B60" s="74"/>
      <c r="C60" s="108"/>
      <c r="D60" s="53"/>
      <c r="E60" s="108"/>
      <c r="F60" s="53"/>
      <c r="G60" s="113" t="e">
        <f>IF(E59=H45,-C54,0)</f>
        <v>#N/A</v>
      </c>
      <c r="H60" s="54"/>
      <c r="I60" s="54"/>
      <c r="J60" s="88" t="e">
        <f>IF(G60="","",G60-I60)</f>
        <v>#N/A</v>
      </c>
    </row>
    <row r="61" spans="1:12" ht="15" thickBot="1">
      <c r="A61" s="98" t="s">
        <v>56</v>
      </c>
      <c r="B61" s="90" t="e">
        <f>IF(J60="",B59,SUM(G59,J60))</f>
        <v>#N/A</v>
      </c>
      <c r="C61" s="109"/>
      <c r="D61" s="91"/>
      <c r="E61" s="109"/>
      <c r="F61" s="91"/>
      <c r="G61" s="90" t="e">
        <f>G59+G60</f>
        <v>#N/A</v>
      </c>
      <c r="H61" s="92"/>
      <c r="I61" s="92"/>
      <c r="J61" s="93" t="e">
        <f>J60+J59</f>
        <v>#N/A</v>
      </c>
    </row>
    <row r="62" spans="1:12" ht="16" thickBot="1">
      <c r="A62" s="106" t="s">
        <v>57</v>
      </c>
      <c r="B62" s="101" t="e">
        <f>IF(B61="","",B61)</f>
        <v>#N/A</v>
      </c>
      <c r="C62" s="75"/>
      <c r="D62" s="75"/>
      <c r="E62" s="75"/>
      <c r="F62" s="75"/>
      <c r="G62" s="101" t="e">
        <f>IF(G61="","",G61)</f>
        <v>#N/A</v>
      </c>
      <c r="H62" s="75">
        <f>H61</f>
        <v>0</v>
      </c>
      <c r="I62" s="75" t="e">
        <f>I59</f>
        <v>#N/A</v>
      </c>
      <c r="J62" s="101" t="e">
        <f>IF(J61="","",J61)</f>
        <v>#N/A</v>
      </c>
      <c r="L62" s="31"/>
    </row>
    <row r="63" spans="1:12" ht="9" customHeight="1" thickTop="1"/>
    <row r="64" spans="1:12" ht="15" thickBot="1">
      <c r="A64" s="81" t="s">
        <v>58</v>
      </c>
      <c r="B64" s="80"/>
      <c r="C64" s="80"/>
      <c r="D64" s="80"/>
      <c r="E64" s="80"/>
      <c r="F64" s="80"/>
      <c r="G64" s="80"/>
      <c r="H64" s="80"/>
      <c r="I64" s="80"/>
      <c r="J64" s="80"/>
      <c r="K64" s="80"/>
      <c r="L64" s="146" t="s">
        <v>39</v>
      </c>
    </row>
    <row r="65" spans="1:14" ht="31.5" thickBot="1">
      <c r="A65" s="95" t="s">
        <v>12</v>
      </c>
      <c r="B65" s="48" t="s">
        <v>59</v>
      </c>
      <c r="C65" s="49" t="s">
        <v>60</v>
      </c>
      <c r="D65" s="49" t="s">
        <v>61</v>
      </c>
      <c r="E65" s="50" t="s">
        <v>62</v>
      </c>
      <c r="F65" s="58" t="s">
        <v>63</v>
      </c>
      <c r="G65" s="49" t="s">
        <v>64</v>
      </c>
      <c r="H65" s="49" t="s">
        <v>65</v>
      </c>
      <c r="I65" s="49" t="s">
        <v>66</v>
      </c>
      <c r="J65" s="49" t="s">
        <v>67</v>
      </c>
      <c r="K65" s="275" t="s">
        <v>68</v>
      </c>
      <c r="L65" s="276"/>
    </row>
    <row r="66" spans="1:14">
      <c r="A66" s="97" t="s">
        <v>69</v>
      </c>
      <c r="B66" s="74" t="e">
        <f>K53</f>
        <v>#N/A</v>
      </c>
      <c r="C66" s="277"/>
      <c r="D66" s="277"/>
      <c r="E66" s="280"/>
      <c r="F66" s="59" t="e">
        <f>B66</f>
        <v>#N/A</v>
      </c>
      <c r="G66" s="108" t="e">
        <f>C59</f>
        <v>#N/A</v>
      </c>
      <c r="H66" s="108" t="e">
        <f>E59</f>
        <v>#N/A</v>
      </c>
      <c r="I66" s="84" t="e">
        <f>D59</f>
        <v>#N/A</v>
      </c>
      <c r="J66" s="84" t="e">
        <f>F59</f>
        <v>#N/A</v>
      </c>
      <c r="K66" s="283" t="e">
        <f>IF(F66="","",(F66/I66)*J66)</f>
        <v>#N/A</v>
      </c>
      <c r="L66" s="284"/>
    </row>
    <row r="67" spans="1:14">
      <c r="A67" s="97" t="str">
        <f>"Pagamento sobre Juros"&amp;IF(F67="","","-"&amp;$A$36)</f>
        <v>Pagamento sobre Juros</v>
      </c>
      <c r="B67" s="74" t="str">
        <f>IF(F67="","",F67)</f>
        <v/>
      </c>
      <c r="C67" s="278"/>
      <c r="D67" s="278"/>
      <c r="E67" s="281"/>
      <c r="F67" s="59"/>
      <c r="G67" s="108"/>
      <c r="H67" s="108"/>
      <c r="I67" s="60"/>
      <c r="J67" s="60"/>
      <c r="K67" s="264"/>
      <c r="L67" s="265"/>
    </row>
    <row r="68" spans="1:14" ht="15" thickBot="1">
      <c r="A68" s="102" t="s">
        <v>71</v>
      </c>
      <c r="B68" s="103" t="str">
        <f>IF(F68="","",F68)</f>
        <v/>
      </c>
      <c r="C68" s="279"/>
      <c r="D68" s="279"/>
      <c r="E68" s="282"/>
      <c r="F68" s="104"/>
      <c r="G68" s="110"/>
      <c r="H68" s="110"/>
      <c r="I68" s="105"/>
      <c r="J68" s="105"/>
      <c r="K68" s="266" t="e">
        <f>SUM(K66:L67)</f>
        <v>#N/A</v>
      </c>
      <c r="L68" s="267"/>
    </row>
    <row r="69" spans="1:14" ht="15.5" thickTop="1" thickBot="1">
      <c r="A69" s="134" t="s">
        <v>72</v>
      </c>
      <c r="B69" s="135" t="e">
        <f>B62</f>
        <v>#N/A</v>
      </c>
      <c r="C69" s="222" t="e">
        <f>IF(G43=0,EOMONTH(C59,0),IF(B69="","",EOMONTH(C59,1)))</f>
        <v>#N/A</v>
      </c>
      <c r="D69" s="136" t="e">
        <f>EOMONTH(E59,0)</f>
        <v>#N/A</v>
      </c>
      <c r="E69" s="139" t="e">
        <f>IF(C69=D69,0,IF(C69="","",SUM(INDEX('(01.3) POUPANCA'!B25:B329,MATCH(C69,'(01.3) POUPANCA'!A25:A329,0),1):INDEX('(01.3) POUPANCA'!B25:B329,MATCH(D69,'(01.3) POUPANCA'!A25:A329,0),1))))</f>
        <v>#N/A</v>
      </c>
      <c r="F69" s="140" t="e">
        <f>IF(B69="","",B69*E69)</f>
        <v>#N/A</v>
      </c>
      <c r="G69" s="136" t="e">
        <f>IF(C69="","",EOMONTH(G66,0))</f>
        <v>#N/A</v>
      </c>
      <c r="H69" s="136" t="e">
        <f>IF(D69="","",EOMONTH(D69,0))</f>
        <v>#N/A</v>
      </c>
      <c r="I69" s="141" t="e">
        <f>IF(G69="",1,VLOOKUP(G69,IF(OR($L$47="",$L$47="TAB DEPRE IPCAE"),TABIPCATJSP,TABELADEPRESP),2,1))</f>
        <v>#N/A</v>
      </c>
      <c r="J69" s="142" t="e">
        <f>IF(H69="",1,VLOOKUP(H69,IF(OR($L$47="",$L$47="TAB DEPRE IPCAE"),TABIPCATJSP,TABELADEPRESP),2,1))</f>
        <v>#N/A</v>
      </c>
      <c r="K69" s="262" t="e">
        <f>IF(F69="","",(F69/I69)*J69)</f>
        <v>#N/A</v>
      </c>
      <c r="L69" s="263"/>
    </row>
    <row r="70" spans="1:14" ht="16" thickBot="1">
      <c r="A70" s="55" t="s">
        <v>73</v>
      </c>
      <c r="B70" s="75"/>
      <c r="C70" s="75"/>
      <c r="D70" s="75"/>
      <c r="E70" s="75"/>
      <c r="F70" s="75"/>
      <c r="G70" s="75"/>
      <c r="H70" s="75"/>
      <c r="I70" s="75"/>
      <c r="J70" s="75"/>
      <c r="K70" s="268" t="e">
        <f>IF(K68="","",SUM(K68:L69))</f>
        <v>#N/A</v>
      </c>
      <c r="L70" s="268"/>
    </row>
    <row r="71" spans="1:14" ht="7.5" customHeight="1" thickTop="1">
      <c r="A71" s="56"/>
      <c r="B71" s="57"/>
      <c r="C71" s="57"/>
      <c r="D71" s="57"/>
      <c r="E71" s="57"/>
      <c r="F71" s="57"/>
      <c r="G71" s="57"/>
      <c r="H71" s="57"/>
      <c r="I71" s="57"/>
      <c r="J71" s="57"/>
    </row>
    <row r="72" spans="1:14" ht="7.5" customHeight="1">
      <c r="A72" s="56"/>
      <c r="B72" s="57"/>
      <c r="C72" s="57"/>
      <c r="D72" s="57"/>
      <c r="E72" s="57"/>
      <c r="F72" s="57"/>
      <c r="G72" s="57"/>
      <c r="H72" s="57"/>
      <c r="I72" s="57"/>
      <c r="J72" s="57"/>
    </row>
    <row r="73" spans="1:14" ht="27" customHeight="1">
      <c r="A73" s="269" t="s">
        <v>203</v>
      </c>
      <c r="B73" s="269"/>
      <c r="C73" s="269"/>
      <c r="D73" s="269"/>
      <c r="E73" s="269"/>
      <c r="F73" s="269"/>
      <c r="G73" s="269"/>
      <c r="H73" s="269"/>
      <c r="I73" s="269"/>
      <c r="J73" s="269"/>
      <c r="K73" s="269"/>
      <c r="L73" s="269"/>
    </row>
    <row r="74" spans="1:14">
      <c r="A74" s="274" t="s">
        <v>157</v>
      </c>
      <c r="B74" s="274"/>
      <c r="C74" s="274"/>
      <c r="D74" s="274"/>
      <c r="E74" s="274"/>
      <c r="F74" s="274"/>
      <c r="G74" s="274"/>
      <c r="H74" s="274"/>
      <c r="I74" s="274"/>
      <c r="J74" s="274"/>
      <c r="K74" s="274"/>
      <c r="L74" s="274"/>
    </row>
    <row r="75" spans="1:14" ht="15" thickBot="1">
      <c r="A75" s="81" t="s">
        <v>120</v>
      </c>
      <c r="B75" s="80"/>
      <c r="C75" s="80"/>
      <c r="D75" s="80"/>
      <c r="E75" s="80"/>
      <c r="F75" s="80"/>
      <c r="G75" s="80"/>
      <c r="H75" s="80"/>
      <c r="I75" s="80"/>
      <c r="J75" s="80"/>
      <c r="K75" s="80"/>
      <c r="L75" s="146" t="s">
        <v>39</v>
      </c>
    </row>
    <row r="76" spans="1:14" ht="39.5" thickBot="1">
      <c r="A76" s="95" t="s">
        <v>12</v>
      </c>
      <c r="B76" s="48" t="s">
        <v>46</v>
      </c>
      <c r="C76" s="49" t="s">
        <v>47</v>
      </c>
      <c r="D76" s="50" t="s">
        <v>48</v>
      </c>
      <c r="E76" s="50" t="s">
        <v>49</v>
      </c>
      <c r="F76" s="50" t="s">
        <v>50</v>
      </c>
      <c r="G76" s="48" t="s">
        <v>51</v>
      </c>
      <c r="H76" s="51" t="s">
        <v>52</v>
      </c>
      <c r="I76" s="51" t="s">
        <v>53</v>
      </c>
      <c r="J76" s="48" t="s">
        <v>54</v>
      </c>
      <c r="N76" s="79"/>
    </row>
    <row r="77" spans="1:14">
      <c r="A77" s="96" t="s">
        <v>55</v>
      </c>
      <c r="B77" s="83" t="e">
        <f>G45</f>
        <v>#N/A</v>
      </c>
      <c r="C77" s="107" t="e">
        <f>IF(H69&lt;O15,H69,IF(F27&gt;O15,F27,O15))</f>
        <v>#N/A</v>
      </c>
      <c r="D77" s="84" t="e">
        <f>IF(C77="",1,VLOOKUP(C77,IF(OR($L$40="",$L$40="TAB DEPRE IPCAE"),TABIPCATJSP,TABELADEPRESP),2,1))</f>
        <v>#N/A</v>
      </c>
      <c r="E77" s="165" t="e">
        <f>IF(IF(OR(H69&lt;$O$15,C77&gt;$L$27),C77,IF($K$27&lt;$O$15,IF(AND($H$27&gt;$O$15,$H$27&lt;$K$27,$H$27&lt;&gt;""),$H$27,$O$15),IF(AND($H$27&gt;$O$15,$H$27&lt;$K$27,$H$27&lt;&gt;""),$H$27,IF($K$27&gt;$B$27,$B$27,$K$27-5))))&gt;$O$23,$O$23,IF(OR(H69&lt;$O$15,C77&gt;$L$27),C77,IF($K$27&lt;$O$15,IF(AND($H$27&gt;$O$15,$H$27&lt;$K$27,$H$27&lt;&gt;""),$H$27,$O$15),IF(AND($H$27&gt;$O$15,$H$27&lt;$K$27,$H$27&lt;&gt;""),$H$27,IF($K$27&gt;$B$27,$B$27,$K$27-5)))))</f>
        <v>#N/A</v>
      </c>
      <c r="F77" s="84" t="e">
        <f>IF(E77="",1,VLOOKUP(E77,IF(OR($L$40="",$L$40="TAB DEPRE IPCAE"),TABIPCATJSP,TABELADEPRESP),2,1))</f>
        <v>#N/A</v>
      </c>
      <c r="G77" s="83" t="e">
        <f>IF(B77="","",(B77/D77)*F77)</f>
        <v>#N/A</v>
      </c>
      <c r="H77" s="85" t="e">
        <f>I62</f>
        <v>#N/A</v>
      </c>
      <c r="I77" s="85" t="e">
        <f>IF(H77="","",(H77/D77)*F77)</f>
        <v>#N/A</v>
      </c>
      <c r="J77" s="86" t="e">
        <f>IF(G77="","",G77-I77)</f>
        <v>#N/A</v>
      </c>
    </row>
    <row r="78" spans="1:14">
      <c r="A78" s="97" t="e">
        <f>"Pagamento sobre Principal"&amp;IF(G78="","","-"&amp;$A$36)</f>
        <v>#N/A</v>
      </c>
      <c r="B78" s="74" t="str">
        <f>IF(H4=0,"",(G78*D78)/F78)</f>
        <v/>
      </c>
      <c r="C78" s="108"/>
      <c r="D78" s="53"/>
      <c r="E78" s="108" t="e">
        <f>IF(G78&lt;&gt;0,EOMONTH($H$27,0),"")</f>
        <v>#N/A</v>
      </c>
      <c r="F78" s="53" t="e">
        <f>IF(E78="",1,VLOOKUP(E78,IF(OR($L$40="",$L$40="TAB DEPRE IPCAE"),TABIPCATJSP,TABELADEPRESP),2,1))</f>
        <v>#N/A</v>
      </c>
      <c r="G78" s="113" t="e">
        <f>IF(E77=H27,-C36,0)</f>
        <v>#N/A</v>
      </c>
      <c r="H78" s="54"/>
      <c r="I78" s="54" t="e">
        <f>IF(OR(G78=0,$I$36=""),0,$I$36*-1)</f>
        <v>#N/A</v>
      </c>
      <c r="J78" s="88" t="e">
        <f>IF(G78="","",G78-I78)</f>
        <v>#N/A</v>
      </c>
    </row>
    <row r="79" spans="1:14" ht="15" thickBot="1">
      <c r="A79" s="98" t="s">
        <v>56</v>
      </c>
      <c r="B79" s="90"/>
      <c r="C79" s="109"/>
      <c r="D79" s="91"/>
      <c r="E79" s="109"/>
      <c r="F79" s="91"/>
      <c r="G79" s="90" t="e">
        <f>G77+G78</f>
        <v>#N/A</v>
      </c>
      <c r="H79" s="92"/>
      <c r="I79" s="90" t="e">
        <f>I77+I78</f>
        <v>#N/A</v>
      </c>
      <c r="J79" s="93" t="e">
        <f>IF(J78="",J77,G79-I79)</f>
        <v>#N/A</v>
      </c>
    </row>
    <row r="80" spans="1:14" ht="16" thickBot="1">
      <c r="A80" s="106" t="s">
        <v>57</v>
      </c>
      <c r="B80" s="101" t="str">
        <f>IF(B79="","",B79)</f>
        <v/>
      </c>
      <c r="C80" s="75"/>
      <c r="D80" s="75"/>
      <c r="E80" s="75"/>
      <c r="F80" s="75"/>
      <c r="G80" s="101" t="e">
        <f>IF(G79="","",G79)</f>
        <v>#N/A</v>
      </c>
      <c r="H80" s="75"/>
      <c r="I80" s="75" t="e">
        <f>I79</f>
        <v>#N/A</v>
      </c>
      <c r="J80" s="101" t="e">
        <f>IF(J79="","",J79)</f>
        <v>#N/A</v>
      </c>
      <c r="L80" s="31"/>
    </row>
    <row r="81" spans="1:12" ht="9" customHeight="1" thickTop="1"/>
    <row r="82" spans="1:12" ht="15" thickBot="1">
      <c r="A82" s="81" t="s">
        <v>121</v>
      </c>
      <c r="B82" s="80"/>
      <c r="C82" s="80"/>
      <c r="D82" s="80"/>
      <c r="E82" s="80"/>
      <c r="F82" s="80"/>
      <c r="G82" s="80"/>
      <c r="H82" s="80"/>
      <c r="I82" s="80"/>
      <c r="J82" s="80"/>
      <c r="K82" s="80"/>
      <c r="L82" s="146" t="s">
        <v>39</v>
      </c>
    </row>
    <row r="83" spans="1:12" ht="31.5" thickBot="1">
      <c r="A83" s="95" t="s">
        <v>12</v>
      </c>
      <c r="B83" s="48" t="s">
        <v>59</v>
      </c>
      <c r="C83" s="49" t="s">
        <v>60</v>
      </c>
      <c r="D83" s="49" t="s">
        <v>61</v>
      </c>
      <c r="E83" s="50" t="s">
        <v>62</v>
      </c>
      <c r="F83" s="58" t="s">
        <v>63</v>
      </c>
      <c r="G83" s="49" t="s">
        <v>64</v>
      </c>
      <c r="H83" s="49" t="s">
        <v>65</v>
      </c>
      <c r="I83" s="49" t="s">
        <v>66</v>
      </c>
      <c r="J83" s="49" t="s">
        <v>67</v>
      </c>
      <c r="K83" s="275" t="s">
        <v>68</v>
      </c>
      <c r="L83" s="276"/>
    </row>
    <row r="84" spans="1:12">
      <c r="A84" s="97" t="s">
        <v>69</v>
      </c>
      <c r="B84" s="74" t="e">
        <f>K70</f>
        <v>#N/A</v>
      </c>
      <c r="C84" s="277"/>
      <c r="D84" s="277"/>
      <c r="E84" s="280"/>
      <c r="F84" s="59" t="e">
        <f>IF(B84="","",B84)</f>
        <v>#N/A</v>
      </c>
      <c r="G84" s="108" t="e">
        <f>C77</f>
        <v>#N/A</v>
      </c>
      <c r="H84" s="108" t="e">
        <f>E77</f>
        <v>#N/A</v>
      </c>
      <c r="I84" s="84" t="e">
        <f>IF(G84="",1,VLOOKUP(G84,IF(OR($L$47="",$L$47="TAB DEPRE IPCAE"),TABIPCATJSP,TABELADEPRESP),2,1))</f>
        <v>#N/A</v>
      </c>
      <c r="J84" s="84" t="e">
        <f>IF(H84="",1,VLOOKUP(H84,IF(OR($L$47="",$L$47="TAB DEPRE IPCAE"),TABIPCATJSP,TABELADEPRESP),2,1))</f>
        <v>#N/A</v>
      </c>
      <c r="K84" s="283" t="e">
        <f>IF(F84="","",(F84/I84)*J84)</f>
        <v>#N/A</v>
      </c>
      <c r="L84" s="284"/>
    </row>
    <row r="85" spans="1:12">
      <c r="A85" s="97" t="str">
        <f>"Pagamento sobre Juros"&amp;IF(F85="","","-"&amp;$A$36)</f>
        <v>Pagamento sobre Juros</v>
      </c>
      <c r="B85" s="74"/>
      <c r="C85" s="278"/>
      <c r="D85" s="278"/>
      <c r="E85" s="281"/>
      <c r="F85" s="59"/>
      <c r="G85" s="108"/>
      <c r="H85" s="108"/>
      <c r="I85" s="60"/>
      <c r="J85" s="60">
        <f>IF(H85="",1,VLOOKUP(H85,IF(OR($L$47="",$L$47="TAB DEPRE IPCAE"),TABIPCATJSP,TABELADEPRESP),2,1))</f>
        <v>1</v>
      </c>
      <c r="K85" s="264" t="e">
        <f>IF(E77=$H$27,-$E$36,0)</f>
        <v>#N/A</v>
      </c>
      <c r="L85" s="265"/>
    </row>
    <row r="86" spans="1:12" ht="15" thickBot="1">
      <c r="A86" s="102" t="s">
        <v>71</v>
      </c>
      <c r="B86" s="103"/>
      <c r="C86" s="279"/>
      <c r="D86" s="279"/>
      <c r="E86" s="282"/>
      <c r="F86" s="104"/>
      <c r="G86" s="110" t="str">
        <f>IF(H85="","",EOMONTH(H85,0))</f>
        <v/>
      </c>
      <c r="H86" s="110" t="str">
        <f>IF(H85="","",MIN(EOMONTH(D27,0),EOMONTH($O$14,0),EOMONTH($K$27,0)))</f>
        <v/>
      </c>
      <c r="I86" s="105"/>
      <c r="J86" s="105"/>
      <c r="K86" s="266" t="e">
        <f>K84+K85</f>
        <v>#N/A</v>
      </c>
      <c r="L86" s="267"/>
    </row>
    <row r="87" spans="1:12" ht="16.5" thickTop="1" thickBot="1">
      <c r="A87" s="55" t="s">
        <v>122</v>
      </c>
      <c r="B87" s="75"/>
      <c r="C87" s="75"/>
      <c r="D87" s="75"/>
      <c r="E87" s="75"/>
      <c r="F87" s="75"/>
      <c r="G87" s="75"/>
      <c r="H87" s="75"/>
      <c r="I87" s="75"/>
      <c r="J87" s="75"/>
      <c r="K87" s="268" t="e">
        <f>IF(K85="","",K86)</f>
        <v>#N/A</v>
      </c>
      <c r="L87" s="268"/>
    </row>
    <row r="88" spans="1:12" ht="16" thickTop="1">
      <c r="A88" s="112"/>
      <c r="B88" s="57"/>
      <c r="C88" s="57"/>
      <c r="D88" s="57"/>
      <c r="E88" s="57"/>
      <c r="F88" s="57"/>
      <c r="G88" s="57"/>
      <c r="H88" s="57"/>
      <c r="I88" s="57"/>
      <c r="J88" s="57"/>
      <c r="K88" s="100"/>
      <c r="L88" s="100"/>
    </row>
    <row r="89" spans="1:12">
      <c r="A89" s="274" t="s">
        <v>158</v>
      </c>
      <c r="B89" s="274"/>
      <c r="C89" s="274"/>
      <c r="D89" s="274"/>
      <c r="E89" s="274"/>
      <c r="F89" s="274"/>
      <c r="G89" s="274"/>
      <c r="H89" s="274"/>
      <c r="I89" s="274"/>
      <c r="J89" s="274"/>
      <c r="K89" s="274"/>
      <c r="L89" s="274"/>
    </row>
    <row r="90" spans="1:12" ht="15" thickBot="1">
      <c r="A90" s="81" t="s">
        <v>120</v>
      </c>
      <c r="B90" s="80"/>
      <c r="C90" s="80"/>
      <c r="D90" s="80"/>
      <c r="E90" s="80"/>
      <c r="F90" s="80"/>
      <c r="G90" s="80"/>
      <c r="H90" s="80"/>
      <c r="I90" s="80"/>
      <c r="J90" s="80"/>
      <c r="K90" s="80"/>
      <c r="L90" s="146" t="s">
        <v>39</v>
      </c>
    </row>
    <row r="91" spans="1:12" ht="39.5" thickBot="1">
      <c r="A91" s="95" t="s">
        <v>12</v>
      </c>
      <c r="B91" s="48" t="s">
        <v>46</v>
      </c>
      <c r="C91" s="49" t="s">
        <v>47</v>
      </c>
      <c r="D91" s="50" t="s">
        <v>48</v>
      </c>
      <c r="E91" s="50" t="s">
        <v>49</v>
      </c>
      <c r="F91" s="50" t="s">
        <v>50</v>
      </c>
      <c r="G91" s="48" t="s">
        <v>51</v>
      </c>
      <c r="H91" s="51" t="s">
        <v>52</v>
      </c>
      <c r="I91" s="51" t="s">
        <v>53</v>
      </c>
      <c r="J91" s="48" t="s">
        <v>54</v>
      </c>
    </row>
    <row r="92" spans="1:12">
      <c r="A92" s="96" t="s">
        <v>55</v>
      </c>
      <c r="B92" s="83" t="e">
        <f>G80</f>
        <v>#N/A</v>
      </c>
      <c r="C92" s="107" t="e">
        <f>E77</f>
        <v>#N/A</v>
      </c>
      <c r="D92" s="84" t="e">
        <f>IF(C92="",1,VLOOKUP(C92,IF(OR($L$40="",$L$40="TAB DEPRE IPCAE"),TABIPCATJSP,TABELADEPRESP),2,1))</f>
        <v>#N/A</v>
      </c>
      <c r="E92" s="165" t="e">
        <f>IF(G78=0,C92,IF(AND(H27&gt;O15,H27&lt;K27,H27&lt;&gt;"",K27&lt;B27),K27-5,B27))</f>
        <v>#N/A</v>
      </c>
      <c r="F92" s="84" t="e">
        <f>IF(E92="",1,VLOOKUP(E92,IF(OR($L$40="",$L$40="TAB DEPRE IPCAE"),TABIPCATJSP,TABELADEPRESP),2,1))</f>
        <v>#N/A</v>
      </c>
      <c r="G92" s="83" t="e">
        <f>IF(B92="","",(B92/D92)*F92)</f>
        <v>#N/A</v>
      </c>
      <c r="H92" s="85" t="e">
        <f>I79</f>
        <v>#N/A</v>
      </c>
      <c r="I92" s="85" t="e">
        <f>IF(H92="","",(H92/D92)*F92)</f>
        <v>#N/A</v>
      </c>
      <c r="J92" s="86" t="e">
        <f>IF(G92="","",G92-I92)</f>
        <v>#N/A</v>
      </c>
    </row>
    <row r="93" spans="1:12">
      <c r="A93" s="97" t="str">
        <f>"Pagamento sobre Principal"&amp;IF(G93="","","-"&amp;$A$36)</f>
        <v>Pagamento sobre Principal</v>
      </c>
      <c r="B93" s="74" t="str">
        <f>IF(H20=0,"",(G93*D93)/F93)</f>
        <v/>
      </c>
      <c r="C93" s="108"/>
      <c r="D93" s="53"/>
      <c r="E93" s="108"/>
      <c r="F93" s="53"/>
      <c r="G93" s="113"/>
      <c r="H93" s="54"/>
      <c r="I93" s="54"/>
      <c r="J93" s="88"/>
    </row>
    <row r="94" spans="1:12" ht="15" thickBot="1">
      <c r="A94" s="98" t="s">
        <v>56</v>
      </c>
      <c r="B94" s="90"/>
      <c r="C94" s="109"/>
      <c r="D94" s="91"/>
      <c r="E94" s="109"/>
      <c r="F94" s="91"/>
      <c r="G94" s="90" t="e">
        <f>G92+G93</f>
        <v>#N/A</v>
      </c>
      <c r="H94" s="92"/>
      <c r="I94" s="90" t="e">
        <f>I92+I93</f>
        <v>#N/A</v>
      </c>
      <c r="J94" s="93" t="e">
        <f>IF(J93="",J92,G94-I94)</f>
        <v>#N/A</v>
      </c>
    </row>
    <row r="95" spans="1:12" ht="16" thickBot="1">
      <c r="A95" s="106" t="s">
        <v>57</v>
      </c>
      <c r="B95" s="101" t="str">
        <f>IF(B94="","",B94)</f>
        <v/>
      </c>
      <c r="C95" s="75"/>
      <c r="D95" s="75"/>
      <c r="E95" s="75"/>
      <c r="F95" s="75"/>
      <c r="G95" s="101" t="e">
        <f>IF(G94="","",G94)</f>
        <v>#N/A</v>
      </c>
      <c r="H95" s="75"/>
      <c r="I95" s="75" t="e">
        <f>I94</f>
        <v>#N/A</v>
      </c>
      <c r="J95" s="101" t="e">
        <f>IF(J94="","",J94)</f>
        <v>#N/A</v>
      </c>
      <c r="L95" s="31"/>
    </row>
    <row r="96" spans="1:12" ht="9" customHeight="1" thickTop="1"/>
    <row r="97" spans="1:13" ht="15" thickBot="1">
      <c r="A97" s="81" t="s">
        <v>121</v>
      </c>
      <c r="B97" s="80"/>
      <c r="C97" s="80"/>
      <c r="D97" s="80"/>
      <c r="E97" s="80"/>
      <c r="F97" s="80"/>
      <c r="G97" s="80"/>
      <c r="H97" s="80"/>
      <c r="I97" s="80"/>
      <c r="J97" s="80"/>
      <c r="K97" s="80"/>
      <c r="L97" s="146" t="s">
        <v>39</v>
      </c>
    </row>
    <row r="98" spans="1:13" ht="31.5" thickBot="1">
      <c r="A98" s="95" t="s">
        <v>12</v>
      </c>
      <c r="B98" s="48" t="s">
        <v>59</v>
      </c>
      <c r="C98" s="49" t="s">
        <v>60</v>
      </c>
      <c r="D98" s="49" t="s">
        <v>61</v>
      </c>
      <c r="E98" s="50" t="s">
        <v>62</v>
      </c>
      <c r="F98" s="58" t="s">
        <v>63</v>
      </c>
      <c r="G98" s="49" t="s">
        <v>64</v>
      </c>
      <c r="H98" s="49" t="s">
        <v>65</v>
      </c>
      <c r="I98" s="49" t="s">
        <v>66</v>
      </c>
      <c r="J98" s="49" t="s">
        <v>67</v>
      </c>
      <c r="K98" s="275" t="s">
        <v>68</v>
      </c>
      <c r="L98" s="276"/>
    </row>
    <row r="99" spans="1:13">
      <c r="A99" s="97" t="s">
        <v>69</v>
      </c>
      <c r="B99" s="74" t="e">
        <f>K86</f>
        <v>#N/A</v>
      </c>
      <c r="C99" s="277"/>
      <c r="D99" s="277"/>
      <c r="E99" s="280"/>
      <c r="F99" s="59" t="e">
        <f>IF(B99="","",B99)</f>
        <v>#N/A</v>
      </c>
      <c r="G99" s="108" t="e">
        <f>C92</f>
        <v>#N/A</v>
      </c>
      <c r="H99" s="108" t="e">
        <f>E92</f>
        <v>#N/A</v>
      </c>
      <c r="I99" s="84" t="e">
        <f>IF(G99="",1,VLOOKUP(G99,IF(OR($L$47="",$L$47="TAB DEPRE IPCAE"),TABIPCATJSP,TABELADEPRESP),2,1))</f>
        <v>#N/A</v>
      </c>
      <c r="J99" s="84" t="e">
        <f>IF(H99="",1,VLOOKUP(H99,IF(OR($L$47="",$L$47="TAB DEPRE IPCAE"),TABIPCATJSP,TABELADEPRESP),2,1))</f>
        <v>#N/A</v>
      </c>
      <c r="K99" s="283" t="e">
        <f>IF(F99="","",(F99/I99)*J99)</f>
        <v>#N/A</v>
      </c>
      <c r="L99" s="284"/>
    </row>
    <row r="100" spans="1:13">
      <c r="A100" s="97" t="str">
        <f>"Pagamento sobre Juros"&amp;IF(F100="","","-"&amp;$A$36)</f>
        <v>Pagamento sobre Juros</v>
      </c>
      <c r="B100" s="74"/>
      <c r="C100" s="278"/>
      <c r="D100" s="278"/>
      <c r="E100" s="281"/>
      <c r="F100" s="59"/>
      <c r="G100" s="108"/>
      <c r="H100" s="108"/>
      <c r="I100" s="60"/>
      <c r="J100" s="60"/>
      <c r="K100" s="264"/>
      <c r="L100" s="265"/>
    </row>
    <row r="101" spans="1:13" ht="15" thickBot="1">
      <c r="A101" s="102" t="s">
        <v>71</v>
      </c>
      <c r="B101" s="103" t="e">
        <f>IF(F101="","",F101)</f>
        <v>#N/A</v>
      </c>
      <c r="C101" s="279"/>
      <c r="D101" s="279"/>
      <c r="E101" s="282"/>
      <c r="F101" s="104" t="e">
        <f>IF(K100="",F99,SUM(K99,K100))</f>
        <v>#N/A</v>
      </c>
      <c r="G101" s="110" t="str">
        <f>IF(H100="","",EOMONTH(H100,0))</f>
        <v/>
      </c>
      <c r="H101" s="110" t="str">
        <f>IF(H100="","",MIN(EOMONTH(D43,0),EOMONTH($O$14,0),EOMONTH($K$27,0)))</f>
        <v/>
      </c>
      <c r="I101" s="105"/>
      <c r="J101" s="105"/>
      <c r="K101" s="266" t="e">
        <f>K99+K100</f>
        <v>#N/A</v>
      </c>
      <c r="L101" s="267"/>
    </row>
    <row r="102" spans="1:13" ht="16.5" thickTop="1" thickBot="1">
      <c r="A102" s="55" t="s">
        <v>122</v>
      </c>
      <c r="B102" s="75"/>
      <c r="C102" s="75"/>
      <c r="D102" s="75"/>
      <c r="E102" s="75"/>
      <c r="F102" s="75"/>
      <c r="G102" s="75"/>
      <c r="H102" s="75"/>
      <c r="I102" s="75"/>
      <c r="J102" s="75"/>
      <c r="K102" s="268" t="e">
        <f>K101</f>
        <v>#N/A</v>
      </c>
      <c r="L102" s="268"/>
    </row>
    <row r="103" spans="1:13" ht="16" thickTop="1">
      <c r="A103" s="112"/>
      <c r="B103" s="57"/>
      <c r="C103" s="57"/>
      <c r="D103" s="57"/>
      <c r="E103" s="57"/>
      <c r="F103" s="57"/>
      <c r="G103" s="57"/>
      <c r="H103" s="57"/>
      <c r="I103" s="57"/>
      <c r="J103" s="57"/>
      <c r="K103" s="100"/>
      <c r="L103" s="100"/>
    </row>
    <row r="104" spans="1:13" ht="7.5" customHeight="1">
      <c r="A104" s="56"/>
      <c r="B104" s="57"/>
      <c r="C104" s="57"/>
      <c r="D104" s="57"/>
      <c r="E104" s="57"/>
      <c r="F104" s="57"/>
      <c r="G104" s="57"/>
      <c r="H104" s="57"/>
      <c r="I104" s="57"/>
      <c r="J104" s="57"/>
    </row>
    <row r="105" spans="1:13" ht="30" customHeight="1">
      <c r="A105" s="285" t="s">
        <v>204</v>
      </c>
      <c r="B105" s="285"/>
      <c r="C105" s="285"/>
      <c r="D105" s="285"/>
      <c r="E105" s="285"/>
      <c r="F105" s="285"/>
      <c r="G105" s="285"/>
      <c r="H105" s="285"/>
      <c r="I105" s="285"/>
      <c r="J105" s="285"/>
      <c r="K105" s="285"/>
      <c r="L105" s="285"/>
    </row>
    <row r="106" spans="1:13">
      <c r="A106" s="274" t="s">
        <v>157</v>
      </c>
      <c r="B106" s="274"/>
      <c r="C106" s="274"/>
      <c r="D106" s="274"/>
      <c r="E106" s="274"/>
      <c r="F106" s="274"/>
      <c r="G106" s="274"/>
      <c r="H106" s="274"/>
      <c r="I106" s="274"/>
      <c r="J106" s="274"/>
      <c r="K106" s="274"/>
      <c r="L106" s="274"/>
      <c r="M106" s="176"/>
    </row>
    <row r="107" spans="1:13" ht="15" thickBot="1">
      <c r="A107" s="81" t="s">
        <v>123</v>
      </c>
      <c r="B107" s="80"/>
      <c r="C107" s="80"/>
      <c r="D107" s="80"/>
      <c r="E107" s="80"/>
      <c r="F107" s="80"/>
      <c r="G107" s="80"/>
      <c r="H107" s="80"/>
      <c r="I107" s="80"/>
      <c r="J107" s="80"/>
      <c r="K107" s="80"/>
      <c r="L107" s="146" t="s">
        <v>40</v>
      </c>
    </row>
    <row r="108" spans="1:13" ht="39.5" thickBot="1">
      <c r="A108" s="47" t="s">
        <v>12</v>
      </c>
      <c r="B108" s="48" t="s">
        <v>46</v>
      </c>
      <c r="C108" s="49" t="s">
        <v>47</v>
      </c>
      <c r="D108" s="50" t="s">
        <v>48</v>
      </c>
      <c r="E108" s="50" t="s">
        <v>49</v>
      </c>
      <c r="F108" s="50" t="s">
        <v>50</v>
      </c>
      <c r="G108" s="48" t="s">
        <v>51</v>
      </c>
      <c r="H108" s="51" t="s">
        <v>52</v>
      </c>
      <c r="I108" s="51" t="s">
        <v>53</v>
      </c>
      <c r="J108" s="48" t="s">
        <v>54</v>
      </c>
    </row>
    <row r="109" spans="1:13">
      <c r="A109" s="82" t="s">
        <v>126</v>
      </c>
      <c r="B109" s="122" t="e">
        <f>G95</f>
        <v>#N/A</v>
      </c>
      <c r="C109" s="164" t="e">
        <f>IF(IF(H99&gt;L27,H99,IF(K27&gt;B27,B27,K27-5))&gt;O23,O23,IF(H99&gt;L27,H99,IF(K27&gt;B27,B27,K27-5)))</f>
        <v>#N/A</v>
      </c>
      <c r="D109" s="116" t="e">
        <f>IF(C109="",1,VLOOKUP(C109,IF(OR($L$107="",$L$107="TAB DEPRE IPCAE"),TABIPCATJSP,TABELADEPRESP),2,1))</f>
        <v>#N/A</v>
      </c>
      <c r="E109" s="123" t="e">
        <f>IF(IF(C109&gt;L27,C109,IF($H$27&lt;&gt;"",IF(AND($H$27&gt;$K$27,$H$27&lt;$L$27),$H$27,IF($L$27&lt;B27,$L$27,EOMONTH(B27,0))),IF(B27&gt;L27,L27,IF(K27&gt;B27,C109,B27))))&gt;O23,O23,IF(C109&gt;L27,C109,IF($H$27&lt;&gt;"",IF(AND($H$27&gt;$K$27,$H$27&lt;$L$27),$H$27,IF($L$27&lt;B27,$L$27,EOMONTH(B27,0))),IF(B27&gt;L27,L27,IF(K27&gt;B27,C109,B27)))))</f>
        <v>#N/A</v>
      </c>
      <c r="F109" s="116" t="e">
        <f>IF(E109="",1,VLOOKUP(E109,IF(OR($L$107="",$L$107="TAB DEPRE IPCAE"),TABIPCATJSP,TABELADEPRESP),2,1))</f>
        <v>#N/A</v>
      </c>
      <c r="G109" s="122" t="e">
        <f>(B109/D109)*F109</f>
        <v>#N/A</v>
      </c>
      <c r="H109" s="124" t="e">
        <f>I77</f>
        <v>#N/A</v>
      </c>
      <c r="I109" s="124" t="e">
        <f>(H109/D109)*F109</f>
        <v>#N/A</v>
      </c>
      <c r="J109" s="125" t="e">
        <f>G109-I109</f>
        <v>#N/A</v>
      </c>
    </row>
    <row r="110" spans="1:13">
      <c r="A110" s="87" t="e">
        <f>"Pagamento sobre Principal"&amp;IF(G110="","","-"&amp;$A$36)</f>
        <v>#N/A</v>
      </c>
      <c r="B110" s="113"/>
      <c r="C110" s="115"/>
      <c r="D110" s="126"/>
      <c r="E110" s="115"/>
      <c r="F110" s="126"/>
      <c r="G110" s="113" t="e">
        <f>IF(E109=$H$27,-$C$36,0)</f>
        <v>#N/A</v>
      </c>
      <c r="H110" s="127"/>
      <c r="I110" s="127" t="e">
        <f>IF(OR(G110=0,$I$36=""),0,$I$36*-1)</f>
        <v>#N/A</v>
      </c>
      <c r="J110" s="128" t="e">
        <f>IF(G110="","",G110-I110)</f>
        <v>#N/A</v>
      </c>
    </row>
    <row r="111" spans="1:13" ht="15" thickBot="1">
      <c r="A111" s="89" t="s">
        <v>56</v>
      </c>
      <c r="B111" s="129"/>
      <c r="C111" s="130"/>
      <c r="D111" s="131"/>
      <c r="E111" s="130"/>
      <c r="F111" s="131"/>
      <c r="G111" s="90" t="e">
        <f>G109+G110</f>
        <v>#N/A</v>
      </c>
      <c r="H111" s="132"/>
      <c r="I111" s="90" t="e">
        <f>I109+I110</f>
        <v>#N/A</v>
      </c>
      <c r="J111" s="133" t="e">
        <f>IF(J110="",J109,G111-I111)</f>
        <v>#N/A</v>
      </c>
    </row>
    <row r="112" spans="1:13" ht="15" customHeight="1" thickBot="1">
      <c r="A112" s="106" t="s">
        <v>74</v>
      </c>
      <c r="B112" s="101" t="str">
        <f>IF(B111="","",B111)</f>
        <v/>
      </c>
      <c r="C112" s="75"/>
      <c r="D112" s="75"/>
      <c r="E112" s="75"/>
      <c r="F112" s="75"/>
      <c r="G112" s="101" t="e">
        <f>IF(G111="","",G111)</f>
        <v>#N/A</v>
      </c>
      <c r="H112" s="75">
        <f>H111</f>
        <v>0</v>
      </c>
      <c r="I112" s="101" t="e">
        <f>IF(I111="","",I111)</f>
        <v>#N/A</v>
      </c>
      <c r="J112" s="101" t="e">
        <f>IF(J111="","",J111)</f>
        <v>#N/A</v>
      </c>
      <c r="L112" s="31"/>
    </row>
    <row r="113" spans="1:12" ht="7.5" customHeight="1" thickTop="1"/>
    <row r="114" spans="1:12" ht="15" thickBot="1">
      <c r="A114" s="81" t="s">
        <v>124</v>
      </c>
      <c r="B114" s="80"/>
      <c r="C114" s="80"/>
      <c r="D114" s="80"/>
      <c r="E114" s="80"/>
      <c r="F114" s="80"/>
      <c r="G114" s="80"/>
      <c r="H114" s="80"/>
      <c r="I114" s="80"/>
      <c r="J114" s="80"/>
      <c r="K114" s="80"/>
      <c r="L114" s="146" t="s">
        <v>40</v>
      </c>
    </row>
    <row r="115" spans="1:12" ht="31.5" thickBot="1">
      <c r="A115" s="47" t="s">
        <v>12</v>
      </c>
      <c r="B115" s="48" t="s">
        <v>59</v>
      </c>
      <c r="C115" s="49" t="s">
        <v>47</v>
      </c>
      <c r="D115" s="50" t="s">
        <v>49</v>
      </c>
      <c r="E115" s="50" t="s">
        <v>75</v>
      </c>
      <c r="F115" s="58" t="s">
        <v>63</v>
      </c>
      <c r="G115" s="49" t="s">
        <v>47</v>
      </c>
      <c r="H115" s="50" t="s">
        <v>49</v>
      </c>
      <c r="I115" s="49" t="s">
        <v>76</v>
      </c>
      <c r="J115" s="49" t="s">
        <v>77</v>
      </c>
      <c r="K115" s="275" t="s">
        <v>68</v>
      </c>
      <c r="L115" s="304"/>
    </row>
    <row r="116" spans="1:12" ht="29">
      <c r="A116" s="97" t="s">
        <v>127</v>
      </c>
      <c r="B116" s="113" t="e">
        <f>K102</f>
        <v>#N/A</v>
      </c>
      <c r="C116" s="277" t="s">
        <v>70</v>
      </c>
      <c r="D116" s="277" t="s">
        <v>70</v>
      </c>
      <c r="E116" s="280" t="s">
        <v>70</v>
      </c>
      <c r="F116" s="114" t="e">
        <f>IF(B116="","",B116)</f>
        <v>#N/A</v>
      </c>
      <c r="G116" s="115" t="e">
        <f>C109</f>
        <v>#N/A</v>
      </c>
      <c r="H116" s="115" t="e">
        <f>E109</f>
        <v>#N/A</v>
      </c>
      <c r="I116" s="116" t="e">
        <f>D109</f>
        <v>#N/A</v>
      </c>
      <c r="J116" s="116" t="e">
        <f>F109</f>
        <v>#N/A</v>
      </c>
      <c r="K116" s="300" t="e">
        <f>IF(F116="","",(F116/I116)*J116)</f>
        <v>#N/A</v>
      </c>
      <c r="L116" s="301"/>
    </row>
    <row r="117" spans="1:12">
      <c r="A117" s="97" t="str">
        <f>"Pagamento sobre Juros"&amp;IF(F117="","","-"&amp;$A$36)</f>
        <v>Pagamento sobre Juros</v>
      </c>
      <c r="B117" s="113" t="str">
        <f>IF(F117="","",F117)</f>
        <v/>
      </c>
      <c r="C117" s="278"/>
      <c r="D117" s="278"/>
      <c r="E117" s="281"/>
      <c r="F117" s="114"/>
      <c r="G117" s="115"/>
      <c r="H117" s="115"/>
      <c r="I117" s="117"/>
      <c r="J117" s="117"/>
      <c r="K117" s="264" t="e">
        <f>IF(E109=$H$27,-$E$36,0)</f>
        <v>#N/A</v>
      </c>
      <c r="L117" s="265"/>
    </row>
    <row r="118" spans="1:12" ht="15" thickBot="1">
      <c r="A118" s="111" t="s">
        <v>128</v>
      </c>
      <c r="B118" s="118" t="str">
        <f>IF(F118="","",F118)</f>
        <v/>
      </c>
      <c r="C118" s="279"/>
      <c r="D118" s="279"/>
      <c r="E118" s="282"/>
      <c r="F118" s="119"/>
      <c r="G118" s="120"/>
      <c r="H118" s="120"/>
      <c r="I118" s="121"/>
      <c r="J118" s="121"/>
      <c r="K118" s="266" t="e">
        <f>K116+K117</f>
        <v>#N/A</v>
      </c>
      <c r="L118" s="267"/>
    </row>
    <row r="119" spans="1:12" ht="15" customHeight="1" thickTop="1" thickBot="1">
      <c r="A119" s="52" t="s">
        <v>78</v>
      </c>
      <c r="B119" s="74"/>
      <c r="C119" s="108" t="e">
        <f>EOMONTH(C109,0)</f>
        <v>#N/A</v>
      </c>
      <c r="D119" s="108" t="e">
        <f>EOMONTH(E109,0)</f>
        <v>#N/A</v>
      </c>
      <c r="E119" s="139">
        <v>0</v>
      </c>
      <c r="F119" s="59"/>
      <c r="G119" s="108" t="e">
        <f>G116</f>
        <v>#N/A</v>
      </c>
      <c r="H119" s="108" t="e">
        <f>H116</f>
        <v>#N/A</v>
      </c>
      <c r="I119" s="137" t="e">
        <f>IF(G119="",1,VLOOKUP(G119,IF(OR($L$114="",$L$114="TAB DEPRE IPCAE"),TABIPCATJSP,TABELADEPRESP),2,1))</f>
        <v>#N/A</v>
      </c>
      <c r="J119" s="60" t="e">
        <f>IF(H119="",1,VLOOKUP(H119,IF(OR($L$114="",$L$114="TAB DEPRE IPCAE"),TABIPCATJSP,TABELADEPRESP),2,1))</f>
        <v>#N/A</v>
      </c>
      <c r="K119" s="262" t="str">
        <f>IF(F119="","",(F119/I119)*J119)</f>
        <v/>
      </c>
      <c r="L119" s="263"/>
    </row>
    <row r="120" spans="1:12" ht="16" thickBot="1">
      <c r="A120" s="55" t="s">
        <v>125</v>
      </c>
      <c r="B120" s="75"/>
      <c r="C120" s="75"/>
      <c r="D120" s="75"/>
      <c r="E120" s="75"/>
      <c r="F120" s="75"/>
      <c r="G120" s="75"/>
      <c r="H120" s="75"/>
      <c r="I120" s="75"/>
      <c r="J120" s="75"/>
      <c r="K120" s="268" t="e">
        <f>IF(K118="","",SUM(K118:L119))</f>
        <v>#N/A</v>
      </c>
      <c r="L120" s="268"/>
    </row>
    <row r="121" spans="1:12" ht="16" thickTop="1">
      <c r="A121" s="112"/>
      <c r="B121" s="57"/>
      <c r="C121" s="57"/>
      <c r="D121" s="57"/>
      <c r="E121" s="57"/>
      <c r="F121" s="57"/>
      <c r="G121" s="57"/>
      <c r="H121" s="57"/>
      <c r="I121" s="57"/>
      <c r="J121" s="57"/>
      <c r="K121" s="100"/>
      <c r="L121" s="100"/>
    </row>
    <row r="122" spans="1:12">
      <c r="A122" s="274" t="s">
        <v>158</v>
      </c>
      <c r="B122" s="274"/>
      <c r="C122" s="274"/>
      <c r="D122" s="274"/>
      <c r="E122" s="274"/>
      <c r="F122" s="274"/>
      <c r="G122" s="274"/>
      <c r="H122" s="274"/>
      <c r="I122" s="274"/>
      <c r="J122" s="274"/>
      <c r="K122" s="274"/>
      <c r="L122" s="274"/>
    </row>
    <row r="123" spans="1:12" ht="15" thickBot="1">
      <c r="A123" s="81" t="s">
        <v>123</v>
      </c>
      <c r="B123" s="80"/>
      <c r="C123" s="80"/>
      <c r="D123" s="80"/>
      <c r="E123" s="80"/>
      <c r="F123" s="80"/>
      <c r="G123" s="80"/>
      <c r="H123" s="80"/>
      <c r="I123" s="80"/>
      <c r="J123" s="80"/>
      <c r="K123" s="80"/>
      <c r="L123" s="146" t="s">
        <v>40</v>
      </c>
    </row>
    <row r="124" spans="1:12" ht="39.5" thickBot="1">
      <c r="A124" s="47" t="s">
        <v>12</v>
      </c>
      <c r="B124" s="48" t="s">
        <v>46</v>
      </c>
      <c r="C124" s="49" t="s">
        <v>47</v>
      </c>
      <c r="D124" s="50" t="s">
        <v>48</v>
      </c>
      <c r="E124" s="50" t="s">
        <v>49</v>
      </c>
      <c r="F124" s="50" t="s">
        <v>50</v>
      </c>
      <c r="G124" s="48" t="s">
        <v>51</v>
      </c>
      <c r="H124" s="51" t="s">
        <v>52</v>
      </c>
      <c r="I124" s="51" t="s">
        <v>53</v>
      </c>
      <c r="J124" s="48" t="s">
        <v>54</v>
      </c>
    </row>
    <row r="125" spans="1:12">
      <c r="A125" s="82" t="s">
        <v>126</v>
      </c>
      <c r="B125" s="122" t="e">
        <f>G112</f>
        <v>#N/A</v>
      </c>
      <c r="C125" s="107" t="e">
        <f>E109</f>
        <v>#N/A</v>
      </c>
      <c r="D125" s="116" t="e">
        <f>IF(C125="",1,VLOOKUP(C125,IF(OR($L$107="",$L$107="TAB DEPRE IPCAE"),TABIPCATJSP,TABELADEPRESP),2,1))</f>
        <v>#N/A</v>
      </c>
      <c r="E125" s="123" t="e">
        <f>IF(IF(G119=H119,C125,IF(AND($B$27&gt;C125,$B$27&lt;$L$27),$B$27,IF(AND($B$27&gt;C125,$B$27&gt;$L$27),$L$27,C125)))&gt;$O$23,$O$23,IF(G119=H119,C125,IF(AND($B$27&gt;C125,$B$27&lt;$L$27),$B$27,IF(AND($B$27&gt;C125,$B$27&gt;$L$27),$L$27,C125))))</f>
        <v>#N/A</v>
      </c>
      <c r="F125" s="116" t="e">
        <f>IF(E125="",1,VLOOKUP(E125,IF(OR($L$107="",$L$107="TAB DEPRE IPCAE"),TABIPCATJSP,TABELADEPRESP),2,1))</f>
        <v>#N/A</v>
      </c>
      <c r="G125" s="122" t="e">
        <f>(B125/D125)*F125</f>
        <v>#N/A</v>
      </c>
      <c r="H125" s="124" t="e">
        <f>I111</f>
        <v>#N/A</v>
      </c>
      <c r="I125" s="124" t="e">
        <f>(H125/D125)*F125</f>
        <v>#N/A</v>
      </c>
      <c r="J125" s="125" t="e">
        <f>G125-I125</f>
        <v>#N/A</v>
      </c>
    </row>
    <row r="126" spans="1:12">
      <c r="A126" s="87" t="str">
        <f>"Pagamento sobre Principal"&amp;IF(G126="","","-"&amp;$A$36)</f>
        <v>Pagamento sobre Principal</v>
      </c>
      <c r="B126" s="113"/>
      <c r="C126" s="115"/>
      <c r="D126" s="126"/>
      <c r="E126" s="115"/>
      <c r="F126" s="126"/>
      <c r="G126" s="113"/>
      <c r="H126" s="127"/>
      <c r="I126" s="127"/>
      <c r="J126" s="128"/>
    </row>
    <row r="127" spans="1:12" ht="15" thickBot="1">
      <c r="A127" s="89" t="s">
        <v>56</v>
      </c>
      <c r="B127" s="129"/>
      <c r="C127" s="130"/>
      <c r="D127" s="131"/>
      <c r="E127" s="130"/>
      <c r="F127" s="131"/>
      <c r="G127" s="90" t="e">
        <f>G125+G126</f>
        <v>#N/A</v>
      </c>
      <c r="H127" s="132"/>
      <c r="I127" s="90" t="e">
        <f>I125+I126</f>
        <v>#N/A</v>
      </c>
      <c r="J127" s="133" t="e">
        <f>IF(J126="",J125,G127-I127)</f>
        <v>#N/A</v>
      </c>
    </row>
    <row r="128" spans="1:12" ht="15" customHeight="1" thickBot="1">
      <c r="A128" s="106" t="s">
        <v>74</v>
      </c>
      <c r="B128" s="101" t="str">
        <f>IF(B127="","",B127)</f>
        <v/>
      </c>
      <c r="C128" s="75"/>
      <c r="D128" s="75"/>
      <c r="E128" s="75"/>
      <c r="F128" s="75"/>
      <c r="G128" s="101" t="e">
        <f>IF(G127="","",G127)</f>
        <v>#N/A</v>
      </c>
      <c r="H128" s="75">
        <f>H127</f>
        <v>0</v>
      </c>
      <c r="I128" s="101" t="e">
        <f>IF(I127="","",I127)</f>
        <v>#N/A</v>
      </c>
      <c r="J128" s="101" t="e">
        <f>IF(J127="","",J127)</f>
        <v>#N/A</v>
      </c>
      <c r="L128" s="31"/>
    </row>
    <row r="129" spans="1:13" ht="7.5" customHeight="1" thickTop="1"/>
    <row r="130" spans="1:13" ht="15" thickBot="1">
      <c r="A130" s="81" t="s">
        <v>124</v>
      </c>
      <c r="B130" s="80"/>
      <c r="C130" s="80"/>
      <c r="D130" s="80"/>
      <c r="E130" s="80"/>
      <c r="F130" s="80"/>
      <c r="G130" s="80"/>
      <c r="H130" s="80"/>
      <c r="I130" s="80"/>
      <c r="J130" s="80"/>
      <c r="K130" s="80"/>
      <c r="L130" s="146" t="s">
        <v>40</v>
      </c>
    </row>
    <row r="131" spans="1:13" ht="31.5" thickBot="1">
      <c r="A131" s="47" t="s">
        <v>12</v>
      </c>
      <c r="B131" s="48" t="s">
        <v>59</v>
      </c>
      <c r="C131" s="49" t="s">
        <v>47</v>
      </c>
      <c r="D131" s="50" t="s">
        <v>49</v>
      </c>
      <c r="E131" s="50" t="s">
        <v>75</v>
      </c>
      <c r="F131" s="58" t="s">
        <v>63</v>
      </c>
      <c r="G131" s="49" t="s">
        <v>47</v>
      </c>
      <c r="H131" s="50" t="s">
        <v>49</v>
      </c>
      <c r="I131" s="49" t="s">
        <v>76</v>
      </c>
      <c r="J131" s="49" t="s">
        <v>77</v>
      </c>
      <c r="K131" s="275" t="s">
        <v>68</v>
      </c>
      <c r="L131" s="304"/>
    </row>
    <row r="132" spans="1:13" ht="29">
      <c r="A132" s="97" t="s">
        <v>127</v>
      </c>
      <c r="B132" s="113" t="e">
        <f>K120</f>
        <v>#N/A</v>
      </c>
      <c r="C132" s="277" t="s">
        <v>70</v>
      </c>
      <c r="D132" s="277" t="s">
        <v>70</v>
      </c>
      <c r="E132" s="280" t="s">
        <v>70</v>
      </c>
      <c r="F132" s="114" t="e">
        <f>IF(B132="","",B132)</f>
        <v>#N/A</v>
      </c>
      <c r="G132" s="115" t="e">
        <f>C125</f>
        <v>#N/A</v>
      </c>
      <c r="H132" s="115" t="e">
        <f>E125</f>
        <v>#N/A</v>
      </c>
      <c r="I132" s="116" t="e">
        <f>D125</f>
        <v>#N/A</v>
      </c>
      <c r="J132" s="116" t="e">
        <f>F125</f>
        <v>#N/A</v>
      </c>
      <c r="K132" s="300" t="e">
        <f>IF(F132="","",(F132/I132)*J132)</f>
        <v>#N/A</v>
      </c>
      <c r="L132" s="301"/>
    </row>
    <row r="133" spans="1:13">
      <c r="A133" s="97" t="str">
        <f>"Pagamento sobre Juros"&amp;IF(F133="","","-"&amp;$A$36)</f>
        <v>Pagamento sobre Juros</v>
      </c>
      <c r="B133" s="113" t="str">
        <f>IF(F133="","",F133)</f>
        <v/>
      </c>
      <c r="C133" s="278"/>
      <c r="D133" s="278"/>
      <c r="E133" s="281"/>
      <c r="F133" s="114"/>
      <c r="G133" s="115"/>
      <c r="H133" s="115"/>
      <c r="I133" s="117"/>
      <c r="J133" s="117"/>
      <c r="K133" s="264"/>
      <c r="L133" s="265"/>
    </row>
    <row r="134" spans="1:13" ht="15" thickBot="1">
      <c r="A134" s="111" t="s">
        <v>128</v>
      </c>
      <c r="B134" s="118" t="str">
        <f>IF(F134="","",F134)</f>
        <v/>
      </c>
      <c r="C134" s="279"/>
      <c r="D134" s="279"/>
      <c r="E134" s="282"/>
      <c r="F134" s="119"/>
      <c r="G134" s="120"/>
      <c r="H134" s="120"/>
      <c r="I134" s="121"/>
      <c r="J134" s="121"/>
      <c r="K134" s="266" t="e">
        <f>K132+K133</f>
        <v>#N/A</v>
      </c>
      <c r="L134" s="267"/>
    </row>
    <row r="135" spans="1:13" ht="15" customHeight="1" thickTop="1" thickBot="1">
      <c r="A135" s="52" t="s">
        <v>78</v>
      </c>
      <c r="B135" s="74"/>
      <c r="C135" s="108"/>
      <c r="D135" s="108"/>
      <c r="E135" s="139"/>
      <c r="F135" s="59"/>
      <c r="G135" s="108"/>
      <c r="H135" s="108"/>
      <c r="I135" s="137"/>
      <c r="J135" s="60"/>
      <c r="K135" s="262"/>
      <c r="L135" s="263"/>
    </row>
    <row r="136" spans="1:13" ht="16" thickBot="1">
      <c r="A136" s="55" t="s">
        <v>125</v>
      </c>
      <c r="B136" s="75"/>
      <c r="C136" s="75"/>
      <c r="D136" s="75"/>
      <c r="E136" s="75"/>
      <c r="F136" s="75"/>
      <c r="G136" s="75"/>
      <c r="H136" s="75"/>
      <c r="I136" s="75"/>
      <c r="J136" s="75"/>
      <c r="K136" s="268" t="e">
        <f>IF(K134="","",SUM(K134:L135))</f>
        <v>#N/A</v>
      </c>
      <c r="L136" s="268"/>
    </row>
    <row r="137" spans="1:13" ht="16" thickTop="1">
      <c r="A137" s="112"/>
      <c r="B137" s="57"/>
      <c r="C137" s="57"/>
      <c r="D137" s="57"/>
      <c r="E137" s="57"/>
      <c r="F137" s="57"/>
      <c r="G137" s="57"/>
      <c r="H137" s="57"/>
      <c r="I137" s="57"/>
      <c r="J137" s="57"/>
      <c r="K137" s="100"/>
      <c r="L137" s="100"/>
    </row>
    <row r="138" spans="1:13" ht="30.75" customHeight="1">
      <c r="A138" s="286" t="s">
        <v>161</v>
      </c>
      <c r="B138" s="286"/>
      <c r="C138" s="286"/>
      <c r="D138" s="286"/>
      <c r="E138" s="286"/>
      <c r="F138" s="286"/>
      <c r="G138" s="286"/>
      <c r="H138" s="286"/>
      <c r="I138" s="286"/>
      <c r="J138" s="286"/>
      <c r="K138" s="286"/>
      <c r="L138" s="286"/>
    </row>
    <row r="139" spans="1:13">
      <c r="A139" s="274" t="s">
        <v>157</v>
      </c>
      <c r="B139" s="274"/>
      <c r="C139" s="274"/>
      <c r="D139" s="274"/>
      <c r="E139" s="274"/>
      <c r="F139" s="274"/>
      <c r="G139" s="274"/>
      <c r="H139" s="274"/>
      <c r="I139" s="274"/>
      <c r="J139" s="274"/>
      <c r="K139" s="274"/>
      <c r="L139" s="274"/>
      <c r="M139" s="176"/>
    </row>
    <row r="140" spans="1:13" ht="15" thickBot="1">
      <c r="A140" s="81" t="s">
        <v>129</v>
      </c>
      <c r="B140" s="80"/>
      <c r="C140" s="80"/>
      <c r="D140" s="80"/>
      <c r="E140" s="80"/>
      <c r="F140" s="80"/>
      <c r="G140" s="80"/>
      <c r="H140" s="80"/>
      <c r="I140" s="80"/>
      <c r="J140" s="80"/>
      <c r="K140" s="80"/>
      <c r="L140" s="146" t="s">
        <v>39</v>
      </c>
    </row>
    <row r="141" spans="1:13" ht="39.5" thickBot="1">
      <c r="A141" s="95" t="s">
        <v>12</v>
      </c>
      <c r="B141" s="48" t="s">
        <v>46</v>
      </c>
      <c r="C141" s="49" t="s">
        <v>47</v>
      </c>
      <c r="D141" s="50" t="s">
        <v>48</v>
      </c>
      <c r="E141" s="50" t="s">
        <v>49</v>
      </c>
      <c r="F141" s="50" t="s">
        <v>50</v>
      </c>
      <c r="G141" s="48" t="s">
        <v>51</v>
      </c>
      <c r="H141" s="51" t="s">
        <v>52</v>
      </c>
      <c r="I141" s="51" t="s">
        <v>53</v>
      </c>
      <c r="J141" s="48" t="s">
        <v>54</v>
      </c>
    </row>
    <row r="142" spans="1:13">
      <c r="A142" s="96" t="s">
        <v>55</v>
      </c>
      <c r="B142" s="83" t="e">
        <f>G128</f>
        <v>#N/A</v>
      </c>
      <c r="C142" s="107" t="e">
        <f>H132</f>
        <v>#N/A</v>
      </c>
      <c r="D142" s="84" t="e">
        <f>IF(C142="",1,VLOOKUP(C142,IF(OR($L$40="",$L$40="TAB DEPRE IPCAE"),TABIPCATJSP,TABELADEPRESP),2,1))</f>
        <v>#N/A</v>
      </c>
      <c r="E142" s="165" t="e">
        <f>IF(IF($L$27&lt;$O$15,IF(AND($H$27&gt;$L$27,$H$27&lt;&gt;"",$H$27&lt;$O$15),$H$27,$O$15),$O$15)&lt;C142,C142,IF($L$27&lt;$O$15,IF(AND($H$27&gt;$L$27,$H$27&lt;&gt;"",$H$27&lt;$O$15),$H$27,$O$15),$O$15))</f>
        <v>#N/A</v>
      </c>
      <c r="F142" s="84" t="e">
        <f>IF(E142="",1,VLOOKUP(E142,IF(OR($L$40="",$L$40="TAB DEPRE IPCAE"),TABIPCATJSP,TABELADEPRESP),2,1))</f>
        <v>#N/A</v>
      </c>
      <c r="G142" s="83" t="e">
        <f>IF(B142="","",(B142/D142)*F142)</f>
        <v>#N/A</v>
      </c>
      <c r="H142" s="85" t="e">
        <f>I109</f>
        <v>#N/A</v>
      </c>
      <c r="I142" s="85" t="e">
        <f>IF(H142="","",(H142/D142)*F142)</f>
        <v>#N/A</v>
      </c>
      <c r="J142" s="86" t="e">
        <f>IF(G142="","",G142-I142)</f>
        <v>#N/A</v>
      </c>
    </row>
    <row r="143" spans="1:13">
      <c r="A143" s="97" t="e">
        <f>"Pagamento sobre Principal"&amp;IF(G143="","","-"&amp;$A$36)</f>
        <v>#N/A</v>
      </c>
      <c r="B143" s="74"/>
      <c r="C143" s="108"/>
      <c r="D143" s="53"/>
      <c r="E143" s="108"/>
      <c r="F143" s="53"/>
      <c r="G143" s="113" t="e">
        <f>IF(E142=E125,0,IF(E142=$H$27,-$C$36,0))</f>
        <v>#N/A</v>
      </c>
      <c r="H143" s="54"/>
      <c r="I143" s="54" t="e">
        <f>IF(OR(G143=0,$I$36=""),0,$I$36*-1)</f>
        <v>#N/A</v>
      </c>
      <c r="J143" s="88" t="e">
        <f>IF(G143="",0,G143-I143)</f>
        <v>#N/A</v>
      </c>
    </row>
    <row r="144" spans="1:13" ht="15" thickBot="1">
      <c r="A144" s="98" t="s">
        <v>56</v>
      </c>
      <c r="B144" s="90" t="e">
        <f>B142</f>
        <v>#N/A</v>
      </c>
      <c r="C144" s="109" t="str">
        <f>IF(E143="","",EOMONTH(E143,0))</f>
        <v/>
      </c>
      <c r="D144" s="91">
        <f>IF(C144="",1,VLOOKUP(C144,IF(OR($L$40="",$L$40="TAB DEPRE IPCAE"),TABIPCATJSP,TABELADEPRESP),2,1))</f>
        <v>1</v>
      </c>
      <c r="E144" s="109" t="str">
        <f>IF(E143="","",MIN(EOMONTH($B$27,0),EOMONTH($O$14,0),EOMONTH($K$27,0)))</f>
        <v/>
      </c>
      <c r="F144" s="91">
        <f>IF(E144="",1,VLOOKUP(E144,IF(OR($L$40="",$L$40="TAB DEPRE IPCAE"),TABIPCATJSP,TABELADEPRESP),2,1))</f>
        <v>1</v>
      </c>
      <c r="G144" s="90" t="e">
        <f>SUM(G142:G143)</f>
        <v>#N/A</v>
      </c>
      <c r="H144" s="92"/>
      <c r="I144" s="92" t="e">
        <f>SUM(I142:I143)</f>
        <v>#N/A</v>
      </c>
      <c r="J144" s="93" t="e">
        <f>SUM(J142:J143)</f>
        <v>#N/A</v>
      </c>
    </row>
    <row r="145" spans="1:12" ht="16" thickBot="1">
      <c r="A145" s="106" t="s">
        <v>130</v>
      </c>
      <c r="B145" s="101" t="e">
        <f>IF(B144="","",B144)</f>
        <v>#N/A</v>
      </c>
      <c r="C145" s="75"/>
      <c r="D145" s="75"/>
      <c r="E145" s="75"/>
      <c r="F145" s="75"/>
      <c r="G145" s="101" t="e">
        <f>IF(G144="","",G144)</f>
        <v>#N/A</v>
      </c>
      <c r="H145" s="75">
        <f>H144</f>
        <v>0</v>
      </c>
      <c r="I145" s="75" t="e">
        <f>I144</f>
        <v>#N/A</v>
      </c>
      <c r="J145" s="101" t="e">
        <f>IF(J144="","",J144)</f>
        <v>#N/A</v>
      </c>
      <c r="L145" s="31"/>
    </row>
    <row r="146" spans="1:12" ht="9" customHeight="1" thickTop="1"/>
    <row r="147" spans="1:12" ht="15" thickBot="1">
      <c r="A147" s="81" t="s">
        <v>131</v>
      </c>
      <c r="B147" s="80"/>
      <c r="C147" s="80"/>
      <c r="D147" s="80"/>
      <c r="E147" s="80"/>
      <c r="F147" s="80"/>
      <c r="G147" s="80"/>
      <c r="H147" s="80"/>
      <c r="I147" s="80"/>
      <c r="J147" s="80"/>
      <c r="K147" s="80"/>
      <c r="L147" s="146" t="s">
        <v>39</v>
      </c>
    </row>
    <row r="148" spans="1:12" ht="31.5" thickBot="1">
      <c r="A148" s="95" t="s">
        <v>12</v>
      </c>
      <c r="B148" s="48" t="s">
        <v>59</v>
      </c>
      <c r="C148" s="49" t="s">
        <v>60</v>
      </c>
      <c r="D148" s="49" t="s">
        <v>61</v>
      </c>
      <c r="E148" s="50" t="s">
        <v>62</v>
      </c>
      <c r="F148" s="58" t="s">
        <v>63</v>
      </c>
      <c r="G148" s="49" t="s">
        <v>64</v>
      </c>
      <c r="H148" s="49" t="s">
        <v>65</v>
      </c>
      <c r="I148" s="49" t="s">
        <v>66</v>
      </c>
      <c r="J148" s="49" t="s">
        <v>67</v>
      </c>
      <c r="K148" s="275" t="s">
        <v>68</v>
      </c>
      <c r="L148" s="276"/>
    </row>
    <row r="149" spans="1:12">
      <c r="A149" s="97" t="s">
        <v>69</v>
      </c>
      <c r="B149" s="74" t="e">
        <f>K136</f>
        <v>#N/A</v>
      </c>
      <c r="C149" s="277" t="s">
        <v>70</v>
      </c>
      <c r="D149" s="277" t="s">
        <v>70</v>
      </c>
      <c r="E149" s="280" t="s">
        <v>70</v>
      </c>
      <c r="F149" s="59" t="e">
        <f>IF(B149="","",B149)</f>
        <v>#N/A</v>
      </c>
      <c r="G149" s="108" t="e">
        <f>C142</f>
        <v>#N/A</v>
      </c>
      <c r="H149" s="108" t="e">
        <f>E142</f>
        <v>#N/A</v>
      </c>
      <c r="I149" s="84" t="e">
        <f>IF(G149="",1,VLOOKUP(G149,IF(OR($L$47="",$L$47="TAB DEPRE IPCAE"),TABIPCATJSP,TABELADEPRESP),2,1))</f>
        <v>#N/A</v>
      </c>
      <c r="J149" s="84" t="e">
        <f>IF(H149="",1,VLOOKUP(H149,IF(OR($L$47="",$L$47="TAB DEPRE IPCAE"),TABIPCATJSP,TABELADEPRESP),2,1))</f>
        <v>#N/A</v>
      </c>
      <c r="K149" s="283" t="e">
        <f>IF(F149="","",(F149/I149)*J149)</f>
        <v>#N/A</v>
      </c>
      <c r="L149" s="284"/>
    </row>
    <row r="150" spans="1:12">
      <c r="A150" s="97"/>
      <c r="B150" s="74"/>
      <c r="C150" s="278"/>
      <c r="D150" s="278"/>
      <c r="E150" s="281"/>
      <c r="F150" s="59"/>
      <c r="G150" s="108"/>
      <c r="H150" s="108"/>
      <c r="I150" s="60"/>
      <c r="J150" s="60"/>
      <c r="K150" s="264" t="e">
        <f>IF(E142=E109,0,IF(E142=$H$27,-$E$36,0))</f>
        <v>#N/A</v>
      </c>
      <c r="L150" s="265"/>
    </row>
    <row r="151" spans="1:12" ht="15" thickBot="1">
      <c r="A151" s="102" t="s">
        <v>71</v>
      </c>
      <c r="B151" s="103" t="e">
        <f>IF(F151="","",F151)</f>
        <v>#N/A</v>
      </c>
      <c r="C151" s="279"/>
      <c r="D151" s="279"/>
      <c r="E151" s="282"/>
      <c r="F151" s="104" t="e">
        <f>IF(K150="",F149,SUM(K149,K150))</f>
        <v>#N/A</v>
      </c>
      <c r="G151" s="110"/>
      <c r="H151" s="110"/>
      <c r="I151" s="105"/>
      <c r="J151" s="105"/>
      <c r="K151" s="266" t="e">
        <f>SUM(K149:L150)</f>
        <v>#N/A</v>
      </c>
      <c r="L151" s="267"/>
    </row>
    <row r="152" spans="1:12" ht="15.5" thickTop="1" thickBot="1">
      <c r="A152" s="134" t="s">
        <v>72</v>
      </c>
      <c r="B152" s="135" t="e">
        <f>B145</f>
        <v>#N/A</v>
      </c>
      <c r="C152" s="136" t="e">
        <f>EOMONTH(C142,0)</f>
        <v>#N/A</v>
      </c>
      <c r="D152" s="136" t="e">
        <f>EOMONTH(E142,0)</f>
        <v>#N/A</v>
      </c>
      <c r="E152" s="139" t="e">
        <f>IF(C152=D152,0,SUM(INDEX('(01.3) POUPANCA'!B8:B312,MATCH(C152,'(01.3) POUPANCA'!A8:A312,0),1):INDEX('(01.3) POUPANCA'!B8:B312,MATCH(D152,'(01.3) POUPANCA'!A8:A312,0),1)))</f>
        <v>#N/A</v>
      </c>
      <c r="F152" s="140" t="e">
        <f>IF(B152="","",B152*E152)</f>
        <v>#N/A</v>
      </c>
      <c r="G152" s="136" t="e">
        <f>IF(C152="","",EOMONTH(G149,0))</f>
        <v>#N/A</v>
      </c>
      <c r="H152" s="136" t="e">
        <f>IF(D152="","",EOMONTH(D152,0))</f>
        <v>#N/A</v>
      </c>
      <c r="I152" s="141" t="e">
        <f>IF(G152="",1,VLOOKUP(G152,IF(OR($L$47="",$L$47="TAB DEPRE IPCAE"),TABIPCATJSP,TABELADEPRESP),2,1))</f>
        <v>#N/A</v>
      </c>
      <c r="J152" s="142" t="e">
        <f>IF(H152="",1,VLOOKUP(H152,IF(OR($L$47="",$L$47="TAB DEPRE IPCAE"),TABIPCATJSP,TABELADEPRESP),2,1))</f>
        <v>#N/A</v>
      </c>
      <c r="K152" s="262" t="e">
        <f>IF(F152="","",(F152/I152)*J152)</f>
        <v>#N/A</v>
      </c>
      <c r="L152" s="263"/>
    </row>
    <row r="153" spans="1:12" ht="16" thickBot="1">
      <c r="A153" s="55" t="s">
        <v>132</v>
      </c>
      <c r="B153" s="75"/>
      <c r="C153" s="75"/>
      <c r="D153" s="75"/>
      <c r="E153" s="75"/>
      <c r="F153" s="75"/>
      <c r="G153" s="75"/>
      <c r="H153" s="75"/>
      <c r="I153" s="75"/>
      <c r="J153" s="75"/>
      <c r="K153" s="268" t="e">
        <f>IF(K151="","",SUM(K151:L152))</f>
        <v>#N/A</v>
      </c>
      <c r="L153" s="268"/>
    </row>
    <row r="154" spans="1:12" ht="16" thickTop="1">
      <c r="A154" s="112"/>
      <c r="B154" s="57"/>
      <c r="C154" s="57"/>
      <c r="D154" s="57"/>
      <c r="E154" s="57"/>
      <c r="F154" s="57"/>
      <c r="G154" s="57"/>
      <c r="H154" s="57"/>
      <c r="I154" s="57"/>
      <c r="J154" s="57"/>
      <c r="K154" s="100"/>
      <c r="L154" s="100"/>
    </row>
    <row r="155" spans="1:12">
      <c r="A155" s="274" t="s">
        <v>158</v>
      </c>
      <c r="B155" s="274"/>
      <c r="C155" s="274"/>
      <c r="D155" s="274"/>
      <c r="E155" s="274"/>
      <c r="F155" s="274"/>
      <c r="G155" s="274"/>
      <c r="H155" s="274"/>
      <c r="I155" s="274"/>
      <c r="J155" s="274"/>
      <c r="K155" s="274"/>
      <c r="L155" s="274"/>
    </row>
    <row r="156" spans="1:12" ht="15" thickBot="1">
      <c r="A156" s="81" t="s">
        <v>129</v>
      </c>
      <c r="B156" s="80"/>
      <c r="C156" s="80"/>
      <c r="D156" s="80"/>
      <c r="E156" s="80"/>
      <c r="F156" s="80"/>
      <c r="G156" s="80"/>
      <c r="H156" s="80"/>
      <c r="I156" s="80"/>
      <c r="J156" s="80"/>
      <c r="K156" s="80"/>
      <c r="L156" s="146" t="s">
        <v>39</v>
      </c>
    </row>
    <row r="157" spans="1:12" ht="39.5" thickBot="1">
      <c r="A157" s="95" t="s">
        <v>12</v>
      </c>
      <c r="B157" s="48" t="s">
        <v>46</v>
      </c>
      <c r="C157" s="49" t="s">
        <v>47</v>
      </c>
      <c r="D157" s="50" t="s">
        <v>48</v>
      </c>
      <c r="E157" s="50" t="s">
        <v>49</v>
      </c>
      <c r="F157" s="50" t="s">
        <v>50</v>
      </c>
      <c r="G157" s="48" t="s">
        <v>51</v>
      </c>
      <c r="H157" s="51" t="s">
        <v>52</v>
      </c>
      <c r="I157" s="51" t="s">
        <v>53</v>
      </c>
      <c r="J157" s="48" t="s">
        <v>54</v>
      </c>
    </row>
    <row r="158" spans="1:12">
      <c r="A158" s="96" t="s">
        <v>55</v>
      </c>
      <c r="B158" s="83" t="e">
        <f>G145</f>
        <v>#N/A</v>
      </c>
      <c r="C158" s="107" t="e">
        <f>E142</f>
        <v>#N/A</v>
      </c>
      <c r="D158" s="84" t="e">
        <f>IF(C158="",1,VLOOKUP(C158,IF(OR($L$40="",$L$40="TAB DEPRE IPCAE"),TABIPCATJSP,TABELADEPRESP),2,1))</f>
        <v>#N/A</v>
      </c>
      <c r="E158" s="165" t="e">
        <f>IF(C158&gt;$O$15,C158,$O$15)</f>
        <v>#N/A</v>
      </c>
      <c r="F158" s="84" t="e">
        <f>IF(E158="",1,VLOOKUP(E158,IF(OR($L$40="",$L$40="TAB DEPRE IPCAE"),TABIPCATJSP,TABELADEPRESP),2,1))</f>
        <v>#N/A</v>
      </c>
      <c r="G158" s="83" t="e">
        <f>IF(B158="","",(B158/D158)*F158)</f>
        <v>#N/A</v>
      </c>
      <c r="H158" s="85" t="e">
        <f>I144</f>
        <v>#N/A</v>
      </c>
      <c r="I158" s="85" t="e">
        <f>IF(H158="","",(H158/D158)*F158)</f>
        <v>#N/A</v>
      </c>
      <c r="J158" s="86" t="e">
        <f>IF(G158="","",G158-I158)</f>
        <v>#N/A</v>
      </c>
    </row>
    <row r="159" spans="1:12">
      <c r="A159" s="97" t="str">
        <f>"Pagamento sobre Principal"&amp;IF(G159="","","-"&amp;$A$36)</f>
        <v>Pagamento sobre Principal</v>
      </c>
      <c r="B159" s="74"/>
      <c r="C159" s="108"/>
      <c r="D159" s="53"/>
      <c r="E159" s="108"/>
      <c r="F159" s="53"/>
      <c r="G159" s="113"/>
      <c r="H159" s="54"/>
      <c r="I159" s="54"/>
      <c r="J159" s="88"/>
    </row>
    <row r="160" spans="1:12" ht="15" thickBot="1">
      <c r="A160" s="98" t="s">
        <v>56</v>
      </c>
      <c r="B160" s="90" t="e">
        <f>B158</f>
        <v>#N/A</v>
      </c>
      <c r="C160" s="109" t="str">
        <f>IF(E159="","",EOMONTH(E159,0))</f>
        <v/>
      </c>
      <c r="D160" s="91">
        <f>IF(C160="",1,VLOOKUP(C160,IF(OR($L$40="",$L$40="TAB DEPRE IPCAE"),TABIPCATJSP,TABELADEPRESP),2,1))</f>
        <v>1</v>
      </c>
      <c r="E160" s="109" t="str">
        <f>IF(E159="","",MIN(EOMONTH($B$27,0),EOMONTH($O$14,0),EOMONTH($K$27,0)))</f>
        <v/>
      </c>
      <c r="F160" s="91">
        <f>IF(E160="",1,VLOOKUP(E160,IF(OR($L$40="",$L$40="TAB DEPRE IPCAE"),TABIPCATJSP,TABELADEPRESP),2,1))</f>
        <v>1</v>
      </c>
      <c r="G160" s="90" t="e">
        <f>SUM(G158:G159)</f>
        <v>#N/A</v>
      </c>
      <c r="H160" s="92"/>
      <c r="I160" s="92" t="e">
        <f>SUM(I158:I159)</f>
        <v>#N/A</v>
      </c>
      <c r="J160" s="93" t="e">
        <f>SUM(J158:J159)</f>
        <v>#N/A</v>
      </c>
    </row>
    <row r="161" spans="1:13" ht="16" thickBot="1">
      <c r="A161" s="106" t="s">
        <v>130</v>
      </c>
      <c r="B161" s="101" t="e">
        <f>IF(B160="","",B160)</f>
        <v>#N/A</v>
      </c>
      <c r="C161" s="75"/>
      <c r="D161" s="75"/>
      <c r="E161" s="75"/>
      <c r="F161" s="75"/>
      <c r="G161" s="101" t="e">
        <f>IF(G160="","",G160)</f>
        <v>#N/A</v>
      </c>
      <c r="H161" s="75">
        <f>H160</f>
        <v>0</v>
      </c>
      <c r="I161" s="75" t="e">
        <f>I160</f>
        <v>#N/A</v>
      </c>
      <c r="J161" s="101" t="e">
        <f>IF(J160="","",J160)</f>
        <v>#N/A</v>
      </c>
      <c r="L161" s="31"/>
    </row>
    <row r="162" spans="1:13" ht="9" customHeight="1" thickTop="1"/>
    <row r="163" spans="1:13" ht="15" thickBot="1">
      <c r="A163" s="81" t="s">
        <v>131</v>
      </c>
      <c r="B163" s="80"/>
      <c r="C163" s="80"/>
      <c r="D163" s="80"/>
      <c r="E163" s="80"/>
      <c r="F163" s="80"/>
      <c r="G163" s="80"/>
      <c r="H163" s="80"/>
      <c r="I163" s="80"/>
      <c r="J163" s="80"/>
      <c r="K163" s="80"/>
      <c r="L163" s="146" t="s">
        <v>39</v>
      </c>
    </row>
    <row r="164" spans="1:13" ht="31.5" thickBot="1">
      <c r="A164" s="95" t="s">
        <v>12</v>
      </c>
      <c r="B164" s="48" t="s">
        <v>59</v>
      </c>
      <c r="C164" s="49" t="s">
        <v>60</v>
      </c>
      <c r="D164" s="49" t="s">
        <v>61</v>
      </c>
      <c r="E164" s="50" t="s">
        <v>62</v>
      </c>
      <c r="F164" s="58" t="s">
        <v>63</v>
      </c>
      <c r="G164" s="49" t="s">
        <v>64</v>
      </c>
      <c r="H164" s="49" t="s">
        <v>65</v>
      </c>
      <c r="I164" s="49" t="s">
        <v>66</v>
      </c>
      <c r="J164" s="49" t="s">
        <v>67</v>
      </c>
      <c r="K164" s="275" t="s">
        <v>68</v>
      </c>
      <c r="L164" s="276"/>
    </row>
    <row r="165" spans="1:13">
      <c r="A165" s="97" t="s">
        <v>69</v>
      </c>
      <c r="B165" s="74" t="e">
        <f>K153</f>
        <v>#N/A</v>
      </c>
      <c r="C165" s="277" t="s">
        <v>70</v>
      </c>
      <c r="D165" s="277" t="s">
        <v>70</v>
      </c>
      <c r="E165" s="280" t="s">
        <v>70</v>
      </c>
      <c r="F165" s="59" t="e">
        <f>IF(B165="","",B165)</f>
        <v>#N/A</v>
      </c>
      <c r="G165" s="108" t="e">
        <f>C158</f>
        <v>#N/A</v>
      </c>
      <c r="H165" s="108" t="e">
        <f>E158</f>
        <v>#N/A</v>
      </c>
      <c r="I165" s="84" t="e">
        <f>IF(G165="",1,VLOOKUP(G165,IF(OR($L$47="",$L$47="TAB DEPRE IPCAE"),TABIPCATJSP,TABELADEPRESP),2,1))</f>
        <v>#N/A</v>
      </c>
      <c r="J165" s="84" t="e">
        <f>IF(H165="",1,VLOOKUP(H165,IF(OR($L$47="",$L$47="TAB DEPRE IPCAE"),TABIPCATJSP,TABELADEPRESP),2,1))</f>
        <v>#N/A</v>
      </c>
      <c r="K165" s="283" t="e">
        <f>IF(F165="","",(F165/I165)*J165)</f>
        <v>#N/A</v>
      </c>
      <c r="L165" s="284"/>
    </row>
    <row r="166" spans="1:13">
      <c r="A166" s="97"/>
      <c r="B166" s="74"/>
      <c r="C166" s="278"/>
      <c r="D166" s="278"/>
      <c r="E166" s="281"/>
      <c r="F166" s="59"/>
      <c r="G166" s="108"/>
      <c r="H166" s="108"/>
      <c r="I166" s="60"/>
      <c r="J166" s="60"/>
      <c r="K166" s="264"/>
      <c r="L166" s="265"/>
    </row>
    <row r="167" spans="1:13" ht="15" thickBot="1">
      <c r="A167" s="102" t="s">
        <v>71</v>
      </c>
      <c r="B167" s="103" t="e">
        <f>IF(F167="","",F167)</f>
        <v>#N/A</v>
      </c>
      <c r="C167" s="279"/>
      <c r="D167" s="279"/>
      <c r="E167" s="282"/>
      <c r="F167" s="104" t="e">
        <f>IF(K166="",F165,SUM(K165,K166))</f>
        <v>#N/A</v>
      </c>
      <c r="G167" s="110"/>
      <c r="H167" s="110"/>
      <c r="I167" s="105"/>
      <c r="J167" s="105"/>
      <c r="K167" s="266" t="e">
        <f>SUM(K165:L166)</f>
        <v>#N/A</v>
      </c>
      <c r="L167" s="267"/>
    </row>
    <row r="168" spans="1:13" ht="15.5" thickTop="1" thickBot="1">
      <c r="A168" s="134" t="s">
        <v>72</v>
      </c>
      <c r="B168" s="135" t="e">
        <f>B161</f>
        <v>#N/A</v>
      </c>
      <c r="C168" s="136" t="e">
        <f>EOMONTH(C158,0)</f>
        <v>#N/A</v>
      </c>
      <c r="D168" s="136" t="e">
        <f>EOMONTH(E158,0)</f>
        <v>#N/A</v>
      </c>
      <c r="E168" s="139" t="e">
        <f>IF(C168=D168,0,SUM(INDEX('(01.3) POUPANCA'!B24:B328,MATCH(C168,'(01.3) POUPANCA'!A24:A328,0),1):INDEX('(01.3) POUPANCA'!B24:B328,MATCH(D168,'(01.3) POUPANCA'!A24:A328,0),1)))</f>
        <v>#N/A</v>
      </c>
      <c r="F168" s="140" t="e">
        <f>IF(B168="","",B168*E168)</f>
        <v>#N/A</v>
      </c>
      <c r="G168" s="136" t="e">
        <f>IF(C168="","",EOMONTH(G165,0))</f>
        <v>#N/A</v>
      </c>
      <c r="H168" s="136" t="e">
        <f>IF(D168="","",EOMONTH(D168,0))</f>
        <v>#N/A</v>
      </c>
      <c r="I168" s="141" t="e">
        <f>IF(G168="",1,VLOOKUP(G168,IF(OR($L$47="",$L$47="TAB DEPRE IPCAE"),TABIPCATJSP,TABELADEPRESP),2,1))</f>
        <v>#N/A</v>
      </c>
      <c r="J168" s="142" t="e">
        <f>IF(H168="",1,VLOOKUP(H168,IF(OR($L$47="",$L$47="TAB DEPRE IPCAE"),TABIPCATJSP,TABELADEPRESP),2,1))</f>
        <v>#N/A</v>
      </c>
      <c r="K168" s="262" t="e">
        <f>IF(F168="","",(F168/I168)*J168)</f>
        <v>#N/A</v>
      </c>
      <c r="L168" s="263"/>
    </row>
    <row r="169" spans="1:13" ht="16" thickBot="1">
      <c r="A169" s="55" t="s">
        <v>132</v>
      </c>
      <c r="B169" s="75"/>
      <c r="C169" s="75"/>
      <c r="D169" s="75"/>
      <c r="E169" s="75"/>
      <c r="F169" s="75"/>
      <c r="G169" s="75"/>
      <c r="H169" s="75"/>
      <c r="I169" s="75"/>
      <c r="J169" s="75"/>
      <c r="K169" s="268" t="e">
        <f>SUM(K167:L168)</f>
        <v>#N/A</v>
      </c>
      <c r="L169" s="268"/>
    </row>
    <row r="170" spans="1:13" ht="16" thickTop="1">
      <c r="A170" s="112"/>
      <c r="B170" s="57"/>
      <c r="C170" s="57"/>
      <c r="D170" s="57"/>
      <c r="E170" s="57"/>
      <c r="F170" s="57"/>
      <c r="G170" s="57"/>
      <c r="H170" s="57"/>
      <c r="I170" s="57"/>
      <c r="J170" s="57"/>
      <c r="K170" s="100"/>
      <c r="L170" s="100"/>
    </row>
    <row r="171" spans="1:13" ht="15.5">
      <c r="A171" s="112"/>
      <c r="B171" s="57"/>
      <c r="C171" s="57"/>
      <c r="D171" s="57"/>
      <c r="E171" s="57"/>
      <c r="F171" s="57"/>
      <c r="G171" s="57"/>
      <c r="H171" s="57"/>
      <c r="I171" s="57"/>
      <c r="J171" s="57"/>
      <c r="K171" s="100"/>
      <c r="L171" s="100"/>
    </row>
    <row r="172" spans="1:13" ht="26.25" customHeight="1">
      <c r="A172" s="253" t="s">
        <v>159</v>
      </c>
      <c r="B172" s="253"/>
      <c r="C172" s="253"/>
      <c r="D172" s="253"/>
      <c r="E172" s="253"/>
      <c r="F172" s="253"/>
      <c r="G172" s="253"/>
      <c r="H172" s="253"/>
      <c r="I172" s="253"/>
      <c r="J172" s="253"/>
      <c r="K172" s="253"/>
      <c r="L172" s="253"/>
    </row>
    <row r="173" spans="1:13">
      <c r="A173" s="274" t="s">
        <v>157</v>
      </c>
      <c r="B173" s="274"/>
      <c r="C173" s="274"/>
      <c r="D173" s="274"/>
      <c r="E173" s="274"/>
      <c r="F173" s="274"/>
      <c r="G173" s="274"/>
      <c r="H173" s="274"/>
      <c r="I173" s="274"/>
      <c r="J173" s="274"/>
      <c r="K173" s="274"/>
      <c r="L173" s="274"/>
      <c r="M173" s="176"/>
    </row>
    <row r="174" spans="1:13" ht="15" thickBot="1">
      <c r="A174" s="178" t="s">
        <v>133</v>
      </c>
      <c r="B174" s="179"/>
      <c r="C174" s="179"/>
      <c r="D174" s="179"/>
      <c r="E174" s="179"/>
      <c r="F174" s="179"/>
      <c r="G174" s="179"/>
      <c r="H174" s="179"/>
      <c r="I174" s="179"/>
      <c r="J174" s="179"/>
      <c r="K174" s="179"/>
      <c r="L174" s="185" t="s">
        <v>39</v>
      </c>
    </row>
    <row r="175" spans="1:13" ht="39.5" thickBot="1">
      <c r="A175" s="180" t="s">
        <v>12</v>
      </c>
      <c r="B175" s="181" t="s">
        <v>46</v>
      </c>
      <c r="C175" s="182" t="s">
        <v>47</v>
      </c>
      <c r="D175" s="183" t="s">
        <v>48</v>
      </c>
      <c r="E175" s="183" t="s">
        <v>49</v>
      </c>
      <c r="F175" s="183" t="s">
        <v>50</v>
      </c>
      <c r="G175" s="181" t="s">
        <v>51</v>
      </c>
      <c r="H175" s="184" t="s">
        <v>52</v>
      </c>
      <c r="I175" s="184" t="s">
        <v>53</v>
      </c>
      <c r="J175" s="181" t="s">
        <v>54</v>
      </c>
    </row>
    <row r="176" spans="1:13">
      <c r="A176" s="96" t="s">
        <v>135</v>
      </c>
      <c r="B176" s="83" t="e">
        <f>G161</f>
        <v>#N/A</v>
      </c>
      <c r="C176" s="107" t="e">
        <f>D168</f>
        <v>#N/A</v>
      </c>
      <c r="D176" s="84" t="e">
        <f t="shared" ref="D176:D181" si="0">IF(C176="",1,VLOOKUP(C176,IF(OR($L$174="",$L$174="TAB DEPRE IPCAE"),TABIPCATJSP,TABELADEPRESP),2,1))</f>
        <v>#N/A</v>
      </c>
      <c r="E176" s="107" t="e">
        <f>IF(IF(AND($H$27&lt;&gt;"",$H$27&gt;$L$27,$H$27&lt;$O$23),$H$27,$B$27)&gt;O23,O23,IF(AND($H$27&lt;&gt;"",$H$27&gt;$L$27,$H$27&lt;$O$23),$H$27,$B$27))</f>
        <v>#N/A</v>
      </c>
      <c r="F176" s="84" t="e">
        <f t="shared" ref="F176:F181" si="1">IF(E176="",1,VLOOKUP(E176,IF(OR($L$174="",$L$174="TAB DEPRE IPCAE"),TABIPCATJSP,TABELADEPRESP),2,1))</f>
        <v>#N/A</v>
      </c>
      <c r="G176" s="83" t="e">
        <f>IF(B176="","",(B176/D176)*F176)</f>
        <v>#N/A</v>
      </c>
      <c r="H176" s="85" t="e">
        <f>I142</f>
        <v>#N/A</v>
      </c>
      <c r="I176" s="85" t="e">
        <f>IF(H176="","",(H176/D176)*F176)</f>
        <v>#N/A</v>
      </c>
      <c r="J176" s="86" t="e">
        <f>IF(G176="","",G176-I176)</f>
        <v>#N/A</v>
      </c>
    </row>
    <row r="177" spans="1:13">
      <c r="A177" s="97" t="e">
        <f>"Pagamento sobre Principal"&amp;IF(G177="","","-"&amp;$A$36)</f>
        <v>#N/A</v>
      </c>
      <c r="B177" s="74"/>
      <c r="C177" s="108"/>
      <c r="D177" s="53"/>
      <c r="E177" s="108"/>
      <c r="F177" s="53"/>
      <c r="G177" s="113" t="e">
        <f>IF(E176=$H$27,-$C$36,0)</f>
        <v>#N/A</v>
      </c>
      <c r="H177" s="54"/>
      <c r="I177" s="54" t="e">
        <f>IF(OR(G177=0,$I$36=""),0,$I$36*-1)</f>
        <v>#N/A</v>
      </c>
      <c r="J177" s="88" t="e">
        <f>IF(G177="",0,G177-I177)</f>
        <v>#N/A</v>
      </c>
    </row>
    <row r="178" spans="1:13" ht="15" thickBot="1">
      <c r="A178" s="98" t="s">
        <v>56</v>
      </c>
      <c r="B178" s="90" t="e">
        <f>IF(G177=0,B176,SUM(G176,G177))</f>
        <v>#N/A</v>
      </c>
      <c r="C178" s="109" t="str">
        <f>IF(E177="","",EOMONTH(E177,0))</f>
        <v/>
      </c>
      <c r="D178" s="91">
        <f t="shared" si="0"/>
        <v>1</v>
      </c>
      <c r="E178" s="109" t="str">
        <f>IF(E177="","",MIN(EOMONTH($B$27,0)))</f>
        <v/>
      </c>
      <c r="F178" s="91">
        <f t="shared" si="1"/>
        <v>1</v>
      </c>
      <c r="G178" s="90" t="e">
        <f>IF(J177=0,G176,(B178/D178)*F178)</f>
        <v>#N/A</v>
      </c>
      <c r="H178" s="92"/>
      <c r="I178" s="92" t="e">
        <f>SUM(I176:I177)</f>
        <v>#N/A</v>
      </c>
      <c r="J178" s="93" t="e">
        <f>SUM(J176:J177)</f>
        <v>#N/A</v>
      </c>
    </row>
    <row r="179" spans="1:13">
      <c r="A179" s="96" t="s">
        <v>136</v>
      </c>
      <c r="B179" s="83" t="e">
        <f>K169</f>
        <v>#N/A</v>
      </c>
      <c r="C179" s="107" t="e">
        <f>C176</f>
        <v>#N/A</v>
      </c>
      <c r="D179" s="84" t="e">
        <f t="shared" si="0"/>
        <v>#N/A</v>
      </c>
      <c r="E179" s="107" t="e">
        <f>E176</f>
        <v>#N/A</v>
      </c>
      <c r="F179" s="84" t="e">
        <f t="shared" si="1"/>
        <v>#N/A</v>
      </c>
      <c r="G179" s="83" t="e">
        <f>IF(B179="","",(B179/D179)*F179)</f>
        <v>#N/A</v>
      </c>
      <c r="H179" s="250" t="s">
        <v>70</v>
      </c>
      <c r="I179" s="250" t="s">
        <v>70</v>
      </c>
      <c r="J179" s="86" t="e">
        <f>IF(G179="","",G179)</f>
        <v>#N/A</v>
      </c>
    </row>
    <row r="180" spans="1:13">
      <c r="A180" s="97" t="e">
        <f>"Pagamento sobre Juros"&amp;IF(G180="","","-"&amp;$A$36)</f>
        <v>#N/A</v>
      </c>
      <c r="B180" s="74"/>
      <c r="C180" s="108"/>
      <c r="D180" s="53"/>
      <c r="E180" s="108"/>
      <c r="F180" s="53"/>
      <c r="G180" s="113" t="e">
        <f>IF(E179=$H$27,-$E$36,0)</f>
        <v>#N/A</v>
      </c>
      <c r="H180" s="251"/>
      <c r="I180" s="251"/>
      <c r="J180" s="88" t="e">
        <f>IF(G180="",0,G180-I180)</f>
        <v>#N/A</v>
      </c>
    </row>
    <row r="181" spans="1:13" ht="15" thickBot="1">
      <c r="A181" s="98" t="s">
        <v>79</v>
      </c>
      <c r="B181" s="90"/>
      <c r="C181" s="109" t="str">
        <f>IF(E180="","",EOMONTH(E180,0))</f>
        <v/>
      </c>
      <c r="D181" s="91">
        <f t="shared" si="0"/>
        <v>1</v>
      </c>
      <c r="E181" s="109" t="str">
        <f>IF(E180="","",MIN(EOMONTH($B$27,0)))</f>
        <v/>
      </c>
      <c r="F181" s="91">
        <f t="shared" si="1"/>
        <v>1</v>
      </c>
      <c r="G181" s="90" t="e">
        <f>SUM(G179:G180)</f>
        <v>#N/A</v>
      </c>
      <c r="H181" s="252"/>
      <c r="I181" s="252"/>
      <c r="J181" s="93" t="e">
        <f>IF(J180="",J179,G181-I181)</f>
        <v>#N/A</v>
      </c>
    </row>
    <row r="182" spans="1:13" ht="16" thickBot="1">
      <c r="A182" s="106" t="s">
        <v>134</v>
      </c>
      <c r="B182" s="101"/>
      <c r="C182" s="75"/>
      <c r="D182" s="75"/>
      <c r="E182" s="75"/>
      <c r="F182" s="75"/>
      <c r="G182" s="101" t="e">
        <f>IF(G178="","",SUM(G178,G181))</f>
        <v>#N/A</v>
      </c>
      <c r="H182" s="75">
        <f>H178</f>
        <v>0</v>
      </c>
      <c r="I182" s="75" t="e">
        <f>I178</f>
        <v>#N/A</v>
      </c>
      <c r="J182" s="101" t="e">
        <f>IF(J178="","",SUM(J178,J181))</f>
        <v>#N/A</v>
      </c>
      <c r="L182" s="31"/>
    </row>
    <row r="183" spans="1:13" ht="16" thickTop="1">
      <c r="A183" s="177"/>
      <c r="B183" s="100"/>
      <c r="C183" s="57"/>
      <c r="D183" s="57"/>
      <c r="E183" s="57"/>
      <c r="F183" s="57"/>
      <c r="G183" s="100"/>
      <c r="H183" s="57"/>
      <c r="I183" s="57"/>
      <c r="J183" s="100"/>
      <c r="L183" s="31"/>
    </row>
    <row r="184" spans="1:13">
      <c r="A184" s="274" t="s">
        <v>158</v>
      </c>
      <c r="B184" s="274"/>
      <c r="C184" s="274"/>
      <c r="D184" s="274"/>
      <c r="E184" s="274"/>
      <c r="F184" s="274"/>
      <c r="G184" s="274"/>
      <c r="H184" s="274"/>
      <c r="I184" s="274"/>
      <c r="J184" s="274"/>
      <c r="K184" s="274"/>
      <c r="L184" s="274"/>
      <c r="M184" s="176"/>
    </row>
    <row r="185" spans="1:13" ht="15" thickBot="1">
      <c r="A185" s="178" t="s">
        <v>133</v>
      </c>
      <c r="B185" s="179"/>
      <c r="C185" s="179"/>
      <c r="D185" s="179"/>
      <c r="E185" s="179"/>
      <c r="F185" s="179"/>
      <c r="G185" s="179"/>
      <c r="H185" s="179"/>
      <c r="I185" s="179"/>
      <c r="J185" s="179"/>
      <c r="K185" s="179"/>
      <c r="L185" s="185" t="s">
        <v>39</v>
      </c>
    </row>
    <row r="186" spans="1:13" ht="39.5" thickBot="1">
      <c r="A186" s="180" t="s">
        <v>12</v>
      </c>
      <c r="B186" s="181" t="s">
        <v>46</v>
      </c>
      <c r="C186" s="182" t="s">
        <v>47</v>
      </c>
      <c r="D186" s="183" t="s">
        <v>48</v>
      </c>
      <c r="E186" s="183" t="s">
        <v>49</v>
      </c>
      <c r="F186" s="183" t="s">
        <v>50</v>
      </c>
      <c r="G186" s="181" t="s">
        <v>51</v>
      </c>
      <c r="H186" s="184" t="s">
        <v>52</v>
      </c>
      <c r="I186" s="184" t="s">
        <v>53</v>
      </c>
      <c r="J186" s="181" t="s">
        <v>54</v>
      </c>
      <c r="K186" s="186"/>
      <c r="L186" s="186"/>
    </row>
    <row r="187" spans="1:13">
      <c r="A187" s="96" t="s">
        <v>135</v>
      </c>
      <c r="B187" s="83" t="e">
        <f>G178</f>
        <v>#N/A</v>
      </c>
      <c r="C187" s="107" t="e">
        <f>E176</f>
        <v>#N/A</v>
      </c>
      <c r="D187" s="84" t="e">
        <f t="shared" ref="D187:D192" si="2">IF(C187="",1,VLOOKUP(C187,IF(OR($L$174="",$L$174="TAB DEPRE IPCAE"),TABIPCATJSP,TABELADEPRESP),2,1))</f>
        <v>#N/A</v>
      </c>
      <c r="E187" s="107">
        <f>IF(B27&lt;O23,B27,O23)</f>
        <v>45869</v>
      </c>
      <c r="F187" s="84">
        <f t="shared" ref="F187:F192" si="3">IF(E187="",1,VLOOKUP(E187,IF(OR($L$174="",$L$174="TAB DEPRE IPCAE"),TABIPCATJSP,TABELADEPRESP),2,1))</f>
        <v>79.466067119999991</v>
      </c>
      <c r="G187" s="83" t="e">
        <f>IF(B187="","",(B187/D187)*F187)</f>
        <v>#N/A</v>
      </c>
      <c r="H187" s="85" t="e">
        <f>I178</f>
        <v>#N/A</v>
      </c>
      <c r="I187" s="85" t="e">
        <f>IF(H187="","",(H187/D187)*F187)</f>
        <v>#N/A</v>
      </c>
      <c r="J187" s="86" t="e">
        <f>IF(G187="","",G187-I187)</f>
        <v>#N/A</v>
      </c>
    </row>
    <row r="188" spans="1:13">
      <c r="A188" s="97" t="str">
        <f>"Pagamento sobre Principal"&amp;IF(G188="","","-"&amp;$A$36)</f>
        <v>Pagamento sobre Principal</v>
      </c>
      <c r="B188" s="74"/>
      <c r="C188" s="108"/>
      <c r="D188" s="53"/>
      <c r="E188" s="108"/>
      <c r="F188" s="53"/>
      <c r="G188" s="113"/>
      <c r="H188" s="54"/>
      <c r="I188" s="54"/>
      <c r="J188" s="88"/>
    </row>
    <row r="189" spans="1:13" ht="15" thickBot="1">
      <c r="A189" s="98" t="s">
        <v>56</v>
      </c>
      <c r="B189" s="90" t="e">
        <f>IF(G188="",B187,SUM(G187,G188))</f>
        <v>#N/A</v>
      </c>
      <c r="C189" s="109" t="str">
        <f>IF(E188="","",EOMONTH(E188,0))</f>
        <v/>
      </c>
      <c r="D189" s="91">
        <f t="shared" si="2"/>
        <v>1</v>
      </c>
      <c r="E189" s="109" t="str">
        <f>IF(E188="","",MIN(EOMONTH($B$27,0)))</f>
        <v/>
      </c>
      <c r="F189" s="91">
        <f t="shared" si="3"/>
        <v>1</v>
      </c>
      <c r="G189" s="90" t="e">
        <f>IF(J188="",G187,(B189/D189)*F189)</f>
        <v>#N/A</v>
      </c>
      <c r="H189" s="92" t="str">
        <f>IF(I188="","",SUM(I187:I188))</f>
        <v/>
      </c>
      <c r="I189" s="92" t="str">
        <f>IF(I188="","",(H189/D189)*F189)</f>
        <v/>
      </c>
      <c r="J189" s="93" t="e">
        <f>IF(J188="",J187,G189-I189)</f>
        <v>#N/A</v>
      </c>
    </row>
    <row r="190" spans="1:13">
      <c r="A190" s="96" t="s">
        <v>136</v>
      </c>
      <c r="B190" s="83" t="e">
        <f>G181</f>
        <v>#N/A</v>
      </c>
      <c r="C190" s="107" t="e">
        <f>C187</f>
        <v>#N/A</v>
      </c>
      <c r="D190" s="84" t="e">
        <f t="shared" si="2"/>
        <v>#N/A</v>
      </c>
      <c r="E190" s="107">
        <f>E187</f>
        <v>45869</v>
      </c>
      <c r="F190" s="84">
        <f t="shared" si="3"/>
        <v>79.466067119999991</v>
      </c>
      <c r="G190" s="83" t="e">
        <f>IF(B190="","",(B190/D190)*F190)</f>
        <v>#N/A</v>
      </c>
      <c r="H190" s="250" t="s">
        <v>70</v>
      </c>
      <c r="I190" s="250" t="s">
        <v>70</v>
      </c>
      <c r="J190" s="86" t="e">
        <f>IF(G190="","",G190)</f>
        <v>#N/A</v>
      </c>
    </row>
    <row r="191" spans="1:13">
      <c r="A191" s="97" t="str">
        <f>"Pagamento sobre Juros"&amp;IF(G191="","","-"&amp;$A$36)</f>
        <v>Pagamento sobre Juros</v>
      </c>
      <c r="B191" s="74"/>
      <c r="C191" s="108"/>
      <c r="D191" s="53"/>
      <c r="E191" s="108"/>
      <c r="F191" s="53"/>
      <c r="G191" s="74"/>
      <c r="H191" s="251"/>
      <c r="I191" s="251"/>
      <c r="J191" s="88" t="str">
        <f>IF(G191="","",G191-I191)</f>
        <v/>
      </c>
    </row>
    <row r="192" spans="1:13" ht="15" thickBot="1">
      <c r="A192" s="98" t="s">
        <v>79</v>
      </c>
      <c r="B192" s="90" t="e">
        <f>IF(G191="",B190,SUM(G190,G191))</f>
        <v>#N/A</v>
      </c>
      <c r="C192" s="109" t="str">
        <f>IF(E191="","",EOMONTH(E191,0))</f>
        <v/>
      </c>
      <c r="D192" s="91">
        <f t="shared" si="2"/>
        <v>1</v>
      </c>
      <c r="E192" s="109" t="str">
        <f>IF(E191="","",MIN(EOMONTH($B$27,0)))</f>
        <v/>
      </c>
      <c r="F192" s="91">
        <f t="shared" si="3"/>
        <v>1</v>
      </c>
      <c r="G192" s="90" t="e">
        <f>IF(J191="",G190,(B192/D192)*F192)</f>
        <v>#N/A</v>
      </c>
      <c r="H192" s="252"/>
      <c r="I192" s="252"/>
      <c r="J192" s="93" t="e">
        <f>IF(J191="",J190,G192-I192)</f>
        <v>#N/A</v>
      </c>
    </row>
    <row r="193" spans="1:12" ht="16" thickBot="1">
      <c r="A193" s="106" t="s">
        <v>134</v>
      </c>
      <c r="B193" s="101" t="e">
        <f>IF(B189="","",SUM(B189,B192))</f>
        <v>#N/A</v>
      </c>
      <c r="C193" s="75"/>
      <c r="D193" s="75"/>
      <c r="E193" s="75"/>
      <c r="F193" s="75"/>
      <c r="G193" s="101" t="e">
        <f>IF(G189="","",SUM(G189,G192))</f>
        <v>#N/A</v>
      </c>
      <c r="H193" s="75" t="str">
        <f>H189</f>
        <v/>
      </c>
      <c r="I193" s="75" t="str">
        <f>I189</f>
        <v/>
      </c>
      <c r="J193" s="101" t="e">
        <f>IF(J189="","",SUM(J189,J192))</f>
        <v>#N/A</v>
      </c>
      <c r="L193" s="31"/>
    </row>
    <row r="194" spans="1:12" ht="16" thickTop="1">
      <c r="A194" s="177"/>
      <c r="B194" s="100"/>
      <c r="C194" s="57"/>
      <c r="D194" s="57"/>
      <c r="E194" s="57"/>
      <c r="F194" s="57"/>
      <c r="G194" s="100"/>
      <c r="H194" s="57"/>
      <c r="I194" s="57"/>
      <c r="J194" s="100"/>
      <c r="L194" s="31"/>
    </row>
    <row r="195" spans="1:12" ht="27.75" customHeight="1">
      <c r="A195" s="331" t="s">
        <v>200</v>
      </c>
      <c r="B195" s="331"/>
      <c r="C195" s="331"/>
      <c r="D195" s="331"/>
      <c r="E195" s="331"/>
      <c r="F195" s="331"/>
      <c r="G195" s="331"/>
      <c r="H195" s="331"/>
      <c r="I195" s="331"/>
      <c r="J195" s="331"/>
      <c r="K195" s="331"/>
      <c r="L195" s="331"/>
    </row>
    <row r="196" spans="1:12">
      <c r="A196" s="274" t="s">
        <v>157</v>
      </c>
      <c r="B196" s="274"/>
      <c r="C196" s="274"/>
      <c r="D196" s="274"/>
      <c r="E196" s="274"/>
      <c r="F196" s="274"/>
      <c r="G196" s="274"/>
      <c r="H196" s="274"/>
      <c r="I196" s="274"/>
      <c r="J196" s="274"/>
      <c r="K196" s="274"/>
      <c r="L196" s="274"/>
    </row>
    <row r="197" spans="1:12" ht="15" thickBot="1">
      <c r="A197" s="81" t="s">
        <v>45</v>
      </c>
      <c r="B197" s="80"/>
      <c r="C197" s="80"/>
      <c r="D197" s="80"/>
      <c r="E197" s="80"/>
      <c r="F197" s="80"/>
      <c r="G197" s="80"/>
      <c r="H197" s="80"/>
      <c r="I197" s="80"/>
      <c r="J197" s="80"/>
      <c r="K197" s="80"/>
      <c r="L197" s="146" t="s">
        <v>40</v>
      </c>
    </row>
    <row r="198" spans="1:12" ht="39.5" thickBot="1">
      <c r="A198" s="95" t="s">
        <v>12</v>
      </c>
      <c r="B198" s="48" t="s">
        <v>46</v>
      </c>
      <c r="C198" s="49" t="s">
        <v>47</v>
      </c>
      <c r="D198" s="50" t="s">
        <v>48</v>
      </c>
      <c r="E198" s="50" t="s">
        <v>49</v>
      </c>
      <c r="F198" s="50" t="s">
        <v>50</v>
      </c>
      <c r="G198" s="48" t="s">
        <v>51</v>
      </c>
      <c r="H198" s="51" t="s">
        <v>52</v>
      </c>
      <c r="I198" s="51" t="s">
        <v>53</v>
      </c>
      <c r="J198" s="48" t="s">
        <v>54</v>
      </c>
    </row>
    <row r="199" spans="1:12">
      <c r="A199" s="96" t="s">
        <v>55</v>
      </c>
      <c r="B199" s="83" t="e">
        <f>G189</f>
        <v>#N/A</v>
      </c>
      <c r="C199" s="107">
        <f>O23</f>
        <v>45869</v>
      </c>
      <c r="D199" s="84">
        <f>IF(C199="",1,VLOOKUP(C199,IF(OR($L$197="",$L$197="TAB DEPRE IPCAE"),TABIPCATJSP,TABELADEPRESP),2,1))</f>
        <v>8.2022410000000008</v>
      </c>
      <c r="E199" s="165" t="e">
        <f>IF(OR(E190&lt;$O$23,C199&gt;$L$27),C199,IF($K$27&lt;$O$23,IF(AND($H$27&gt;$O$23,$H$27&lt;$K$27,$H$27&lt;&gt;""),$H$27,$O$23),IF(AND($H$27&gt;$O$23,$H$27&lt;$K$27,$H$27&lt;&gt;""),$H$27,IF($K$27&gt;$B$27,$B$27,$K$27-5))))</f>
        <v>#N/A</v>
      </c>
      <c r="F199" s="84" t="e">
        <f>IF(E199="",1,VLOOKUP(E199,IF(OR($L$197="",$L$197="TAB DEPRE IPCAE"),TABIPCATJSP,TABELADEPRESP),2,1))</f>
        <v>#N/A</v>
      </c>
      <c r="G199" s="83" t="e">
        <f>IF(B199="","",(B199/D199)*F199)</f>
        <v>#N/A</v>
      </c>
      <c r="H199" s="85" t="e">
        <f>I178</f>
        <v>#N/A</v>
      </c>
      <c r="I199" s="85" t="e">
        <f>IF(H199="","",(H199/D199)*F199)</f>
        <v>#N/A</v>
      </c>
      <c r="J199" s="86" t="e">
        <f>IF(G199="","",G199-I199)</f>
        <v>#N/A</v>
      </c>
    </row>
    <row r="200" spans="1:12">
      <c r="A200" s="97" t="e">
        <f>"Pagamento sobre Principal"&amp;IF(G200="","","-"&amp;$A$36)</f>
        <v>#N/A</v>
      </c>
      <c r="B200" s="74"/>
      <c r="C200" s="108">
        <f>C199</f>
        <v>45869</v>
      </c>
      <c r="D200" s="53">
        <f>IF(C200="",1,VLOOKUP(C200,IF(OR($L$197="",$L$197="TAB DEPRE IPCAE"),TABIPCATJSP,TABELADEPRESP),2,1))</f>
        <v>8.2022410000000008</v>
      </c>
      <c r="E200" s="108" t="e">
        <f>E199</f>
        <v>#N/A</v>
      </c>
      <c r="F200" s="53" t="e">
        <f>IF(E199="",1,VLOOKUP(E199,IF(OR($L$197="",$L$197="TAB DEPRE IPCAE"),TABIPCATJSP,TABELADEPRESP),2,1))</f>
        <v>#N/A</v>
      </c>
      <c r="G200" s="113" t="e">
        <f>IF(E199=$H$27,-$C$36,0)</f>
        <v>#N/A</v>
      </c>
      <c r="H200" s="54"/>
      <c r="I200" s="54" t="e">
        <f>IF(OR(G200=0,$I$36=""),0,$I$36*-1)</f>
        <v>#N/A</v>
      </c>
      <c r="J200" s="88" t="e">
        <f>IF(G200="","",G200-I200)</f>
        <v>#N/A</v>
      </c>
    </row>
    <row r="201" spans="1:12" ht="15" thickBot="1">
      <c r="A201" s="98" t="s">
        <v>56</v>
      </c>
      <c r="B201" s="90"/>
      <c r="C201" s="109"/>
      <c r="D201" s="91"/>
      <c r="E201" s="109"/>
      <c r="F201" s="91"/>
      <c r="G201" s="90" t="e">
        <f>G199+G200</f>
        <v>#N/A</v>
      </c>
      <c r="H201" s="92"/>
      <c r="I201" s="90" t="e">
        <f>I199+I200</f>
        <v>#N/A</v>
      </c>
      <c r="J201" s="93" t="e">
        <f>IF(J200="",J199,G201-I201)</f>
        <v>#N/A</v>
      </c>
    </row>
    <row r="202" spans="1:12" ht="16" thickBot="1">
      <c r="A202" s="106" t="s">
        <v>57</v>
      </c>
      <c r="B202" s="101" t="str">
        <f>IF(B201="","",B201)</f>
        <v/>
      </c>
      <c r="C202" s="75"/>
      <c r="D202" s="75"/>
      <c r="E202" s="75"/>
      <c r="F202" s="75"/>
      <c r="G202" s="101" t="e">
        <f>IF(G201="","",G201)</f>
        <v>#N/A</v>
      </c>
      <c r="H202" s="75"/>
      <c r="I202" s="75" t="e">
        <f>I201</f>
        <v>#N/A</v>
      </c>
      <c r="J202" s="101" t="e">
        <f>IF(J201="","",J201)</f>
        <v>#N/A</v>
      </c>
      <c r="L202" s="31"/>
    </row>
    <row r="203" spans="1:12" ht="9" customHeight="1" thickTop="1"/>
    <row r="204" spans="1:12" ht="15" thickBot="1">
      <c r="A204" s="81" t="s">
        <v>58</v>
      </c>
      <c r="B204" s="80"/>
      <c r="C204" s="80"/>
      <c r="D204" s="80"/>
      <c r="E204" s="80"/>
      <c r="F204" s="80"/>
      <c r="G204" s="80"/>
      <c r="H204" s="80"/>
      <c r="I204" s="80"/>
      <c r="J204" s="80"/>
      <c r="K204" s="80"/>
      <c r="L204" s="146" t="s">
        <v>40</v>
      </c>
    </row>
    <row r="205" spans="1:12" ht="31.5" thickBot="1">
      <c r="A205" s="95" t="s">
        <v>12</v>
      </c>
      <c r="B205" s="48" t="s">
        <v>59</v>
      </c>
      <c r="C205" s="49" t="s">
        <v>60</v>
      </c>
      <c r="D205" s="49" t="s">
        <v>61</v>
      </c>
      <c r="E205" s="50" t="s">
        <v>62</v>
      </c>
      <c r="F205" s="58" t="s">
        <v>63</v>
      </c>
      <c r="G205" s="49" t="s">
        <v>64</v>
      </c>
      <c r="H205" s="49" t="s">
        <v>65</v>
      </c>
      <c r="I205" s="49" t="s">
        <v>66</v>
      </c>
      <c r="J205" s="49" t="s">
        <v>67</v>
      </c>
      <c r="K205" s="275" t="s">
        <v>68</v>
      </c>
      <c r="L205" s="276"/>
    </row>
    <row r="206" spans="1:12">
      <c r="A206" s="97" t="s">
        <v>69</v>
      </c>
      <c r="B206" s="74" t="e">
        <f>J192</f>
        <v>#N/A</v>
      </c>
      <c r="C206" s="277" t="s">
        <v>70</v>
      </c>
      <c r="D206" s="277" t="s">
        <v>70</v>
      </c>
      <c r="E206" s="280" t="s">
        <v>70</v>
      </c>
      <c r="F206" s="59" t="e">
        <f>IF(B206="","",B206)</f>
        <v>#N/A</v>
      </c>
      <c r="G206" s="108">
        <f>C199</f>
        <v>45869</v>
      </c>
      <c r="H206" s="108" t="e">
        <f>E199</f>
        <v>#N/A</v>
      </c>
      <c r="I206" s="84">
        <f>IF(G206="",1,VLOOKUP(G206,IF(OR($L$204="",$L$204="TAB DEPRE IPCAE"),TABIPCATJSP,TABELADEPRESP),2,1))</f>
        <v>8.2022410000000008</v>
      </c>
      <c r="J206" s="84" t="e">
        <f>IF(H206="",1,VLOOKUP(H206,IF(OR($L$204="",$L$204="TAB DEPRE IPCAE"),TABIPCATJSP,TABELADEPRESP),2,1))</f>
        <v>#N/A</v>
      </c>
      <c r="K206" s="283" t="e">
        <f>IF(F206="","",(F206/I206)*J206)</f>
        <v>#N/A</v>
      </c>
      <c r="L206" s="284"/>
    </row>
    <row r="207" spans="1:12">
      <c r="A207" s="97" t="str">
        <f>"Pagamento sobre Juros"&amp;IF(F207="","","-"&amp;$A$36)</f>
        <v>Pagamento sobre Juros</v>
      </c>
      <c r="B207" s="74"/>
      <c r="C207" s="278"/>
      <c r="D207" s="278"/>
      <c r="E207" s="281"/>
      <c r="F207" s="59"/>
      <c r="G207" s="108"/>
      <c r="H207" s="108"/>
      <c r="I207" s="60"/>
      <c r="J207" s="60"/>
      <c r="K207" s="264" t="e">
        <f>IF(E199=$H$27,-$E$36,0)</f>
        <v>#N/A</v>
      </c>
      <c r="L207" s="265"/>
    </row>
    <row r="208" spans="1:12" ht="15" thickBot="1">
      <c r="A208" s="102" t="s">
        <v>71</v>
      </c>
      <c r="B208" s="103"/>
      <c r="C208" s="279"/>
      <c r="D208" s="279"/>
      <c r="E208" s="282"/>
      <c r="F208" s="104"/>
      <c r="G208" s="110" t="str">
        <f>IF(H207="","",EOMONTH(H207,0))</f>
        <v/>
      </c>
      <c r="H208" s="110" t="str">
        <f>IF(H207="","",MIN(EOMONTH(D184,0),EOMONTH($O$14,0),EOMONTH($K$27,0)))</f>
        <v/>
      </c>
      <c r="I208" s="105"/>
      <c r="J208" s="105"/>
      <c r="K208" s="266" t="e">
        <f>K206+K207</f>
        <v>#N/A</v>
      </c>
      <c r="L208" s="267"/>
    </row>
    <row r="209" spans="1:12" ht="15.5" thickTop="1" thickBot="1">
      <c r="A209" s="134" t="s">
        <v>72</v>
      </c>
      <c r="B209" s="135" t="e">
        <f>B199</f>
        <v>#N/A</v>
      </c>
      <c r="C209" s="136">
        <f>EOMONTH(C199,0)</f>
        <v>45869</v>
      </c>
      <c r="D209" s="136" t="e">
        <f>EOMONTH(E199,0)</f>
        <v>#N/A</v>
      </c>
      <c r="E209" s="245" t="e">
        <f>((2%/12)*((D209-C209)/30))</f>
        <v>#N/A</v>
      </c>
      <c r="F209" s="140" t="e">
        <f>IF(B209="","",B209*E209)</f>
        <v>#N/A</v>
      </c>
      <c r="G209" s="136">
        <f>IF(C209="","",EOMONTH(G206,0))</f>
        <v>45869</v>
      </c>
      <c r="H209" s="136" t="e">
        <f>IF(D209="","",EOMONTH(D209,0))</f>
        <v>#N/A</v>
      </c>
      <c r="I209" s="141">
        <f>IF(G209="",1,VLOOKUP(G209,IF(OR($L$204="",$L$204="TAB DEPRE IPCAE"),TABIPCATJSP,TABELADEPRESP),2,1))</f>
        <v>8.2022410000000008</v>
      </c>
      <c r="J209" s="142" t="e">
        <f>IF(H209="",1,VLOOKUP(H209,IF(OR($L$204="",$L$204="TAB DEPRE IPCAE"),TABIPCATJSP,TABELADEPRESP),2,1))</f>
        <v>#N/A</v>
      </c>
      <c r="K209" s="262" t="e">
        <f>IF(F209="","",(F209/I209)*J209)</f>
        <v>#N/A</v>
      </c>
      <c r="L209" s="263"/>
    </row>
    <row r="210" spans="1:12" ht="16" thickBot="1">
      <c r="A210" s="55" t="s">
        <v>73</v>
      </c>
      <c r="B210" s="75"/>
      <c r="C210" s="75"/>
      <c r="D210" s="75"/>
      <c r="E210" s="75"/>
      <c r="F210" s="75"/>
      <c r="G210" s="75"/>
      <c r="H210" s="75"/>
      <c r="I210" s="75"/>
      <c r="J210" s="75"/>
      <c r="K210" s="268" t="e">
        <f>IF(K208="","",SUM(K208:L209))</f>
        <v>#N/A</v>
      </c>
      <c r="L210" s="268"/>
    </row>
    <row r="211" spans="1:12" ht="7.5" customHeight="1" thickTop="1">
      <c r="A211" s="56"/>
      <c r="B211" s="57"/>
      <c r="C211" s="57"/>
      <c r="D211" s="57"/>
      <c r="E211" s="57"/>
      <c r="F211" s="57"/>
      <c r="G211" s="57"/>
      <c r="H211" s="57"/>
      <c r="I211" s="57"/>
      <c r="J211" s="57"/>
    </row>
    <row r="212" spans="1:12" ht="7.5" customHeight="1">
      <c r="A212" s="56"/>
      <c r="B212" s="57"/>
      <c r="C212" s="57"/>
      <c r="D212" s="57"/>
      <c r="E212" s="57"/>
      <c r="F212" s="57"/>
      <c r="G212" s="57"/>
      <c r="H212" s="57"/>
      <c r="I212" s="57"/>
      <c r="J212" s="57"/>
    </row>
    <row r="213" spans="1:12">
      <c r="A213" s="274" t="s">
        <v>158</v>
      </c>
      <c r="B213" s="274"/>
      <c r="C213" s="274"/>
      <c r="D213" s="274"/>
      <c r="E213" s="274"/>
      <c r="F213" s="274"/>
      <c r="G213" s="274"/>
      <c r="H213" s="274"/>
      <c r="I213" s="274"/>
      <c r="J213" s="274"/>
      <c r="K213" s="274"/>
      <c r="L213" s="274"/>
    </row>
    <row r="214" spans="1:12" ht="15" thickBot="1">
      <c r="A214" s="81" t="s">
        <v>45</v>
      </c>
      <c r="B214" s="80"/>
      <c r="C214" s="80"/>
      <c r="D214" s="80"/>
      <c r="E214" s="80"/>
      <c r="F214" s="80"/>
      <c r="G214" s="80"/>
      <c r="H214" s="80"/>
      <c r="I214" s="80"/>
      <c r="J214" s="80"/>
      <c r="K214" s="80"/>
      <c r="L214" s="146" t="s">
        <v>40</v>
      </c>
    </row>
    <row r="215" spans="1:12" ht="39.5" thickBot="1">
      <c r="A215" s="95" t="s">
        <v>12</v>
      </c>
      <c r="B215" s="48" t="s">
        <v>46</v>
      </c>
      <c r="C215" s="49" t="s">
        <v>47</v>
      </c>
      <c r="D215" s="50" t="s">
        <v>48</v>
      </c>
      <c r="E215" s="50" t="s">
        <v>49</v>
      </c>
      <c r="F215" s="50" t="s">
        <v>50</v>
      </c>
      <c r="G215" s="48" t="s">
        <v>51</v>
      </c>
      <c r="H215" s="51" t="s">
        <v>52</v>
      </c>
      <c r="I215" s="51" t="s">
        <v>53</v>
      </c>
      <c r="J215" s="48" t="s">
        <v>54</v>
      </c>
    </row>
    <row r="216" spans="1:12">
      <c r="A216" s="96" t="s">
        <v>55</v>
      </c>
      <c r="B216" s="83" t="e">
        <f>G202</f>
        <v>#N/A</v>
      </c>
      <c r="C216" s="107" t="e">
        <f>IF($H$27&lt;&gt;"",E199,H206)</f>
        <v>#N/A</v>
      </c>
      <c r="D216" s="84" t="e">
        <f>IF(C216="",1,VLOOKUP(C216,IF(OR($L$213="",$L$213="TAB DEPRE IPCAE"),TABIPCATJSP,TABELADEPRESP),2,1))</f>
        <v>#N/A</v>
      </c>
      <c r="E216" s="107" t="e">
        <f>IF(G200=0,C216,IF(F184&gt;O172,F184,IF(H184&lt;&gt;"",IF(K184&gt;O172,O172,K184-5),IF(H184&gt;K184,H184,MIN(H184,K184-5)))))</f>
        <v>#N/A</v>
      </c>
      <c r="F216" s="84" t="e">
        <f>IF(E216="",1,VLOOKUP(E216,IF(OR($L$213="",$L$1192="TAB DEPRE IPCAE"),TABIPCATJSP,TABELADEPRESP),2,1))</f>
        <v>#N/A</v>
      </c>
      <c r="G216" s="83" t="e">
        <f>IF(B216="","",(B216/D216)*F216)</f>
        <v>#N/A</v>
      </c>
      <c r="H216" s="85" t="e">
        <f>I202</f>
        <v>#N/A</v>
      </c>
      <c r="I216" s="85" t="e">
        <f>IF(H216="","",(H216/D216)*F216)</f>
        <v>#N/A</v>
      </c>
      <c r="J216" s="86" t="e">
        <f>IF(G216="","",G216-I216)</f>
        <v>#N/A</v>
      </c>
    </row>
    <row r="217" spans="1:12">
      <c r="A217" s="97" t="e">
        <f>"Pagamento sobre Principal"&amp;IF(G217="","","-"&amp;$A$36)</f>
        <v>#N/A</v>
      </c>
      <c r="B217" s="74"/>
      <c r="C217" s="108"/>
      <c r="D217" s="53"/>
      <c r="E217" s="108"/>
      <c r="F217" s="53"/>
      <c r="G217" s="113" t="e">
        <f>IF(E216=H202,-C211,0)</f>
        <v>#N/A</v>
      </c>
      <c r="H217" s="54"/>
      <c r="I217" s="54"/>
      <c r="J217" s="88" t="e">
        <f>IF(G217="","",G217-I217)</f>
        <v>#N/A</v>
      </c>
    </row>
    <row r="218" spans="1:12" ht="15" thickBot="1">
      <c r="A218" s="98" t="s">
        <v>56</v>
      </c>
      <c r="B218" s="90" t="e">
        <f>IF(J217="",B216,SUM(G216,J217))</f>
        <v>#N/A</v>
      </c>
      <c r="C218" s="109"/>
      <c r="D218" s="91"/>
      <c r="E218" s="109"/>
      <c r="F218" s="91"/>
      <c r="G218" s="90" t="e">
        <f>G216+G217</f>
        <v>#N/A</v>
      </c>
      <c r="H218" s="92"/>
      <c r="I218" s="92"/>
      <c r="J218" s="93" t="e">
        <f>J217+J216</f>
        <v>#N/A</v>
      </c>
    </row>
    <row r="219" spans="1:12" ht="16" thickBot="1">
      <c r="A219" s="106" t="s">
        <v>57</v>
      </c>
      <c r="B219" s="101" t="e">
        <f>IF(B218="","",B218)</f>
        <v>#N/A</v>
      </c>
      <c r="C219" s="75"/>
      <c r="D219" s="75"/>
      <c r="E219" s="75"/>
      <c r="F219" s="75"/>
      <c r="G219" s="101" t="e">
        <f>IF(G218="","",G218)</f>
        <v>#N/A</v>
      </c>
      <c r="H219" s="75">
        <f>H218</f>
        <v>0</v>
      </c>
      <c r="I219" s="75" t="e">
        <f>I216</f>
        <v>#N/A</v>
      </c>
      <c r="J219" s="101" t="e">
        <f>IF(J218="","",J218)</f>
        <v>#N/A</v>
      </c>
      <c r="L219" s="31"/>
    </row>
    <row r="220" spans="1:12" ht="9" customHeight="1" thickTop="1"/>
    <row r="221" spans="1:12" ht="15" thickBot="1">
      <c r="A221" s="81" t="s">
        <v>58</v>
      </c>
      <c r="B221" s="80"/>
      <c r="C221" s="80"/>
      <c r="D221" s="80"/>
      <c r="E221" s="80"/>
      <c r="F221" s="80"/>
      <c r="G221" s="80"/>
      <c r="H221" s="80"/>
      <c r="I221" s="80"/>
      <c r="J221" s="80"/>
      <c r="K221" s="80"/>
      <c r="L221" s="146" t="s">
        <v>40</v>
      </c>
    </row>
    <row r="222" spans="1:12" ht="31.5" thickBot="1">
      <c r="A222" s="95" t="s">
        <v>12</v>
      </c>
      <c r="B222" s="48" t="s">
        <v>59</v>
      </c>
      <c r="C222" s="49" t="s">
        <v>60</v>
      </c>
      <c r="D222" s="49" t="s">
        <v>61</v>
      </c>
      <c r="E222" s="50" t="s">
        <v>62</v>
      </c>
      <c r="F222" s="58" t="s">
        <v>63</v>
      </c>
      <c r="G222" s="49" t="s">
        <v>64</v>
      </c>
      <c r="H222" s="49" t="s">
        <v>65</v>
      </c>
      <c r="I222" s="49" t="s">
        <v>66</v>
      </c>
      <c r="J222" s="49" t="s">
        <v>67</v>
      </c>
      <c r="K222" s="275" t="s">
        <v>68</v>
      </c>
      <c r="L222" s="276"/>
    </row>
    <row r="223" spans="1:12">
      <c r="A223" s="97" t="s">
        <v>69</v>
      </c>
      <c r="B223" s="74" t="e">
        <f>K210</f>
        <v>#N/A</v>
      </c>
      <c r="C223" s="277"/>
      <c r="D223" s="277"/>
      <c r="E223" s="280"/>
      <c r="F223" s="59" t="e">
        <f>B223</f>
        <v>#N/A</v>
      </c>
      <c r="G223" s="108" t="e">
        <f>C216</f>
        <v>#N/A</v>
      </c>
      <c r="H223" s="108" t="e">
        <f>E216</f>
        <v>#N/A</v>
      </c>
      <c r="I223" s="84" t="e">
        <f>D216</f>
        <v>#N/A</v>
      </c>
      <c r="J223" s="84" t="e">
        <f>F216</f>
        <v>#N/A</v>
      </c>
      <c r="K223" s="283" t="e">
        <f>IF(F223="","",(F223/I223)*J223)</f>
        <v>#N/A</v>
      </c>
      <c r="L223" s="284"/>
    </row>
    <row r="224" spans="1:12">
      <c r="A224" s="97" t="str">
        <f>"Pagamento sobre Juros"&amp;IF(F224="","","-"&amp;$A$36)</f>
        <v>Pagamento sobre Juros</v>
      </c>
      <c r="B224" s="74" t="str">
        <f>IF(F224="","",F224)</f>
        <v/>
      </c>
      <c r="C224" s="278"/>
      <c r="D224" s="278"/>
      <c r="E224" s="281"/>
      <c r="F224" s="59"/>
      <c r="G224" s="108"/>
      <c r="H224" s="108"/>
      <c r="I224" s="60"/>
      <c r="J224" s="60"/>
      <c r="K224" s="264"/>
      <c r="L224" s="265"/>
    </row>
    <row r="225" spans="1:12" ht="15" thickBot="1">
      <c r="A225" s="102" t="s">
        <v>71</v>
      </c>
      <c r="B225" s="103" t="str">
        <f>IF(F225="","",F225)</f>
        <v/>
      </c>
      <c r="C225" s="279"/>
      <c r="D225" s="279"/>
      <c r="E225" s="282"/>
      <c r="F225" s="104"/>
      <c r="G225" s="110"/>
      <c r="H225" s="110"/>
      <c r="I225" s="105"/>
      <c r="J225" s="105"/>
      <c r="K225" s="266" t="e">
        <f>SUM(K223:L224)</f>
        <v>#N/A</v>
      </c>
      <c r="L225" s="267"/>
    </row>
    <row r="226" spans="1:12" ht="15.5" thickTop="1" thickBot="1">
      <c r="A226" s="134" t="s">
        <v>72</v>
      </c>
      <c r="B226" s="135" t="e">
        <f>B219</f>
        <v>#N/A</v>
      </c>
      <c r="C226" s="222" t="e">
        <f>IF(G200=0,EOMONTH(C216,0),IF(B226="","",EOMONTH(C216,1)))</f>
        <v>#N/A</v>
      </c>
      <c r="D226" s="136" t="e">
        <f>EOMONTH(E216,0)</f>
        <v>#N/A</v>
      </c>
      <c r="E226" s="245" t="e">
        <f>((2%/12)*((D226-C226)/30))</f>
        <v>#N/A</v>
      </c>
      <c r="F226" s="140" t="e">
        <f>IF(B226="","",B226*E226)</f>
        <v>#N/A</v>
      </c>
      <c r="G226" s="136" t="e">
        <f>IF(C226="","",EOMONTH(G223,0))</f>
        <v>#N/A</v>
      </c>
      <c r="H226" s="136" t="e">
        <f>IF(D226="","",EOMONTH(D226,0))</f>
        <v>#N/A</v>
      </c>
      <c r="I226" s="141" t="e">
        <f>IF(G226="",1,VLOOKUP(G226,IF(OR($L$204="",$L$204="TAB DEPRE IPCAE"),TABIPCATJSP,TABELADEPRESP),2,1))</f>
        <v>#N/A</v>
      </c>
      <c r="J226" s="142" t="e">
        <f>IF(H226="",1,VLOOKUP(H226,IF(OR($L$204="",$L$204="TAB DEPRE IPCAE"),TABIPCATJSP,TABELADEPRESP),2,1))</f>
        <v>#N/A</v>
      </c>
      <c r="K226" s="262" t="e">
        <f>IF(F226="","",(F226/I226)*J226)</f>
        <v>#N/A</v>
      </c>
      <c r="L226" s="263"/>
    </row>
    <row r="227" spans="1:12" ht="16" thickBot="1">
      <c r="A227" s="55" t="s">
        <v>73</v>
      </c>
      <c r="B227" s="75"/>
      <c r="C227" s="75"/>
      <c r="D227" s="75"/>
      <c r="E227" s="75"/>
      <c r="F227" s="75"/>
      <c r="G227" s="75"/>
      <c r="H227" s="75"/>
      <c r="I227" s="75"/>
      <c r="J227" s="75"/>
      <c r="K227" s="268" t="e">
        <f>IF(K225="","",SUM(K225:L226))</f>
        <v>#N/A</v>
      </c>
      <c r="L227" s="268"/>
    </row>
    <row r="228" spans="1:12" ht="16" thickTop="1">
      <c r="A228" s="177"/>
      <c r="B228" s="100"/>
      <c r="C228" s="57"/>
      <c r="D228" s="57"/>
      <c r="E228" s="57"/>
      <c r="F228" s="57"/>
      <c r="G228" s="100"/>
      <c r="H228" s="57"/>
      <c r="I228" s="57"/>
      <c r="J228" s="100"/>
      <c r="L228" s="31"/>
    </row>
    <row r="229" spans="1:12" ht="15.5">
      <c r="A229" s="177"/>
      <c r="B229" s="100"/>
      <c r="C229" s="57"/>
      <c r="D229" s="57"/>
      <c r="E229" s="57"/>
      <c r="F229" s="57"/>
      <c r="G229" s="100"/>
      <c r="H229" s="57"/>
      <c r="I229" s="57"/>
      <c r="J229" s="100"/>
      <c r="L229" s="31"/>
    </row>
    <row r="230" spans="1:12" ht="19.5">
      <c r="A230" s="331" t="s">
        <v>201</v>
      </c>
      <c r="B230" s="331"/>
      <c r="C230" s="331"/>
      <c r="D230" s="331"/>
      <c r="E230" s="331"/>
      <c r="F230" s="331"/>
      <c r="G230" s="331"/>
      <c r="H230" s="331"/>
      <c r="I230" s="331"/>
      <c r="J230" s="331"/>
      <c r="K230" s="331"/>
      <c r="L230" s="331"/>
    </row>
    <row r="231" spans="1:12">
      <c r="A231" s="274" t="s">
        <v>157</v>
      </c>
      <c r="B231" s="274"/>
      <c r="C231" s="274"/>
      <c r="D231" s="274"/>
      <c r="E231" s="274"/>
      <c r="F231" s="274"/>
      <c r="G231" s="274"/>
      <c r="H231" s="274"/>
      <c r="I231" s="274"/>
      <c r="J231" s="274"/>
      <c r="K231" s="274"/>
      <c r="L231" s="274"/>
    </row>
    <row r="232" spans="1:12" ht="15" thickBot="1">
      <c r="A232" s="81" t="s">
        <v>45</v>
      </c>
      <c r="B232" s="80"/>
      <c r="C232" s="80"/>
      <c r="D232" s="80"/>
      <c r="E232" s="80"/>
      <c r="F232" s="80"/>
      <c r="G232" s="80"/>
      <c r="H232" s="80"/>
      <c r="I232" s="80"/>
      <c r="J232" s="80"/>
      <c r="K232" s="80"/>
      <c r="L232" s="146" t="s">
        <v>40</v>
      </c>
    </row>
    <row r="233" spans="1:12" ht="39.5" thickBot="1">
      <c r="A233" s="95" t="s">
        <v>12</v>
      </c>
      <c r="B233" s="48" t="s">
        <v>46</v>
      </c>
      <c r="C233" s="49" t="s">
        <v>47</v>
      </c>
      <c r="D233" s="50" t="s">
        <v>48</v>
      </c>
      <c r="E233" s="50" t="s">
        <v>49</v>
      </c>
      <c r="F233" s="50" t="s">
        <v>50</v>
      </c>
      <c r="G233" s="48" t="s">
        <v>51</v>
      </c>
      <c r="H233" s="51" t="s">
        <v>52</v>
      </c>
      <c r="I233" s="51" t="s">
        <v>53</v>
      </c>
      <c r="J233" s="48" t="s">
        <v>54</v>
      </c>
    </row>
    <row r="234" spans="1:12">
      <c r="A234" s="96" t="s">
        <v>55</v>
      </c>
      <c r="B234" s="83" t="e">
        <f>G219</f>
        <v>#N/A</v>
      </c>
      <c r="C234" s="107" t="e">
        <f>E216</f>
        <v>#N/A</v>
      </c>
      <c r="D234" s="84" t="e">
        <f>IF(C234="",1,VLOOKUP(C234,IF(OR($L$232="",$L$232="TAB DEPRE IPCAE"),TABIPCATJSP,TABELADEPRESP),2,1))</f>
        <v>#N/A</v>
      </c>
      <c r="E234" s="165" t="e">
        <f>IF(C234&gt;L27,C234,IF($H$27&lt;&gt;"",IF(AND($H$27&gt;$K$27,$H$27&lt;$L$27),$H$27,IF($L$27&lt;B27,$L$27,EOMONTH(B27,0))),IF(B27&gt;L27,L27,IF(K27&gt;B27,C234,B27))))</f>
        <v>#N/A</v>
      </c>
      <c r="F234" s="84" t="e">
        <f>IF(E234="",1,VLOOKUP(E234,IF(OR($L$232="",$L$232="TAB DEPRE IPCAE"),TABIPCATJSP,TABELADEPRESP),2,1))</f>
        <v>#N/A</v>
      </c>
      <c r="G234" s="83" t="e">
        <f>IF(B234="","",(B234/D234)*F234)</f>
        <v>#N/A</v>
      </c>
      <c r="H234" s="85" t="e">
        <f>I219</f>
        <v>#N/A</v>
      </c>
      <c r="I234" s="85" t="e">
        <f>IF(H234="","",(H234/D234)*F234)</f>
        <v>#N/A</v>
      </c>
      <c r="J234" s="86" t="e">
        <f>IF(G234="","",G234-I234)</f>
        <v>#N/A</v>
      </c>
    </row>
    <row r="235" spans="1:12">
      <c r="A235" s="97" t="e">
        <f>"Pagamento sobre Principal"&amp;IF(G235="","","-"&amp;$A$36)</f>
        <v>#N/A</v>
      </c>
      <c r="B235" s="74"/>
      <c r="C235" s="108" t="e">
        <f>C234</f>
        <v>#N/A</v>
      </c>
      <c r="D235" s="53" t="e">
        <f>IF(C235="",1,VLOOKUP(C235,IF(OR($L$232="",$L$232="TAB DEPRE IPCAE"),TABIPCATJSP,TABELADEPRESP),2,1))</f>
        <v>#N/A</v>
      </c>
      <c r="E235" s="108" t="e">
        <f>E234</f>
        <v>#N/A</v>
      </c>
      <c r="F235" s="53" t="e">
        <f>IF(E234="",1,VLOOKUP(E234,IF(OR($L$232="",$L$232="TAB DEPRE IPCAE"),TABIPCATJSP,TABELADEPRESP),2,1))</f>
        <v>#N/A</v>
      </c>
      <c r="G235" s="113" t="e">
        <f>IF(E234=$H$27,-$C$36,0)</f>
        <v>#N/A</v>
      </c>
      <c r="H235" s="54"/>
      <c r="I235" s="54" t="e">
        <f>IF(OR(G235=0,$I$36=""),0,$I$36*-1)</f>
        <v>#N/A</v>
      </c>
      <c r="J235" s="88" t="e">
        <f>IF(G235="","",G235-I235)</f>
        <v>#N/A</v>
      </c>
    </row>
    <row r="236" spans="1:12" ht="15" thickBot="1">
      <c r="A236" s="98" t="s">
        <v>56</v>
      </c>
      <c r="B236" s="90"/>
      <c r="C236" s="109"/>
      <c r="D236" s="91"/>
      <c r="E236" s="109"/>
      <c r="F236" s="91"/>
      <c r="G236" s="90" t="e">
        <f>G234+G235</f>
        <v>#N/A</v>
      </c>
      <c r="H236" s="92"/>
      <c r="I236" s="90" t="e">
        <f>I234+I235</f>
        <v>#N/A</v>
      </c>
      <c r="J236" s="93" t="e">
        <f>IF(J235="",J234,G236-I236)</f>
        <v>#N/A</v>
      </c>
    </row>
    <row r="237" spans="1:12" ht="16" thickBot="1">
      <c r="A237" s="106" t="s">
        <v>57</v>
      </c>
      <c r="B237" s="101" t="str">
        <f>IF(B236="","",B236)</f>
        <v/>
      </c>
      <c r="C237" s="75"/>
      <c r="D237" s="75"/>
      <c r="E237" s="75"/>
      <c r="F237" s="75"/>
      <c r="G237" s="101" t="e">
        <f>IF(G236="","",G236)</f>
        <v>#N/A</v>
      </c>
      <c r="H237" s="75"/>
      <c r="I237" s="75" t="e">
        <f>I236</f>
        <v>#N/A</v>
      </c>
      <c r="J237" s="101" t="e">
        <f>IF(J236="","",J236)</f>
        <v>#N/A</v>
      </c>
      <c r="L237" s="31"/>
    </row>
    <row r="238" spans="1:12" ht="15" thickTop="1"/>
    <row r="239" spans="1:12" ht="15" thickBot="1">
      <c r="A239" s="81" t="s">
        <v>58</v>
      </c>
      <c r="B239" s="80"/>
      <c r="C239" s="80"/>
      <c r="D239" s="80"/>
      <c r="E239" s="80"/>
      <c r="F239" s="80"/>
      <c r="G239" s="80"/>
      <c r="H239" s="80"/>
      <c r="I239" s="80"/>
      <c r="J239" s="80"/>
      <c r="K239" s="80"/>
      <c r="L239" s="146" t="s">
        <v>40</v>
      </c>
    </row>
    <row r="240" spans="1:12" ht="31.5" thickBot="1">
      <c r="A240" s="95" t="s">
        <v>12</v>
      </c>
      <c r="B240" s="48" t="s">
        <v>59</v>
      </c>
      <c r="C240" s="49" t="s">
        <v>60</v>
      </c>
      <c r="D240" s="49" t="s">
        <v>61</v>
      </c>
      <c r="E240" s="50" t="s">
        <v>62</v>
      </c>
      <c r="F240" s="58" t="s">
        <v>63</v>
      </c>
      <c r="G240" s="49" t="s">
        <v>64</v>
      </c>
      <c r="H240" s="49" t="s">
        <v>65</v>
      </c>
      <c r="I240" s="49" t="s">
        <v>66</v>
      </c>
      <c r="J240" s="49" t="s">
        <v>67</v>
      </c>
      <c r="K240" s="275" t="s">
        <v>68</v>
      </c>
      <c r="L240" s="276"/>
    </row>
    <row r="241" spans="1:12">
      <c r="A241" s="97" t="s">
        <v>69</v>
      </c>
      <c r="B241" s="74" t="e">
        <f>K227</f>
        <v>#N/A</v>
      </c>
      <c r="C241" s="277" t="s">
        <v>70</v>
      </c>
      <c r="D241" s="277" t="s">
        <v>70</v>
      </c>
      <c r="E241" s="280" t="s">
        <v>70</v>
      </c>
      <c r="F241" s="59" t="e">
        <f>IF(B241="","",B241)</f>
        <v>#N/A</v>
      </c>
      <c r="G241" s="108" t="e">
        <f>C234</f>
        <v>#N/A</v>
      </c>
      <c r="H241" s="108" t="e">
        <f>E234</f>
        <v>#N/A</v>
      </c>
      <c r="I241" s="84" t="e">
        <f>IF(G241="",1,VLOOKUP(G241,IF(OR($L$239="",$L$239="TAB DEPRE IPCAE"),TABIPCATJSP,TABELADEPRESP),2,1))</f>
        <v>#N/A</v>
      </c>
      <c r="J241" s="84" t="e">
        <f>IF(H241="",1,VLOOKUP(H241,IF(OR($L$239="",$L$239="TAB DEPRE IPCAE"),TABIPCATJSP,TABELADEPRESP),2,1))</f>
        <v>#N/A</v>
      </c>
      <c r="K241" s="283" t="e">
        <f>IF(F241="","",(F241/I241)*J241)</f>
        <v>#N/A</v>
      </c>
      <c r="L241" s="284"/>
    </row>
    <row r="242" spans="1:12">
      <c r="A242" s="97" t="str">
        <f>"Pagamento sobre Juros"&amp;IF(F242="","","-"&amp;$A$36)</f>
        <v>Pagamento sobre Juros</v>
      </c>
      <c r="B242" s="74"/>
      <c r="C242" s="278"/>
      <c r="D242" s="278"/>
      <c r="E242" s="281"/>
      <c r="F242" s="59"/>
      <c r="G242" s="108"/>
      <c r="H242" s="108"/>
      <c r="I242" s="60"/>
      <c r="J242" s="60"/>
      <c r="K242" s="264" t="e">
        <f>IF(E234=$H$27,-$E$36,0)</f>
        <v>#N/A</v>
      </c>
      <c r="L242" s="265"/>
    </row>
    <row r="243" spans="1:12" ht="15" thickBot="1">
      <c r="A243" s="102" t="s">
        <v>71</v>
      </c>
      <c r="B243" s="103"/>
      <c r="C243" s="279"/>
      <c r="D243" s="279"/>
      <c r="E243" s="282"/>
      <c r="F243" s="104"/>
      <c r="G243" s="110" t="str">
        <f>IF(H242="","",EOMONTH(H242,0))</f>
        <v/>
      </c>
      <c r="H243" s="110" t="str">
        <f>IF(H242="","",MIN(EOMONTH(D219,0),EOMONTH($O$14,0),EOMONTH($K$27,0)))</f>
        <v/>
      </c>
      <c r="I243" s="105"/>
      <c r="J243" s="105"/>
      <c r="K243" s="266" t="e">
        <f>K241+K242</f>
        <v>#N/A</v>
      </c>
      <c r="L243" s="267"/>
    </row>
    <row r="244" spans="1:12" ht="15.5" thickTop="1" thickBot="1">
      <c r="A244" s="134" t="s">
        <v>72</v>
      </c>
      <c r="B244" s="135"/>
      <c r="C244" s="136"/>
      <c r="D244" s="136"/>
      <c r="E244" s="139"/>
      <c r="F244" s="140"/>
      <c r="G244" s="136"/>
      <c r="H244" s="136"/>
      <c r="I244" s="141"/>
      <c r="J244" s="142"/>
      <c r="K244" s="262">
        <f>F244*(1+((2%/12)*((H244-G244)/30)))</f>
        <v>0</v>
      </c>
      <c r="L244" s="263"/>
    </row>
    <row r="245" spans="1:12" ht="16" thickBot="1">
      <c r="A245" s="55" t="s">
        <v>73</v>
      </c>
      <c r="B245" s="75"/>
      <c r="C245" s="75"/>
      <c r="D245" s="75"/>
      <c r="E245" s="75"/>
      <c r="F245" s="75"/>
      <c r="G245" s="75"/>
      <c r="H245" s="75"/>
      <c r="I245" s="75"/>
      <c r="J245" s="75"/>
      <c r="K245" s="268" t="e">
        <f>IF(K243="","",SUM(K243:L244))</f>
        <v>#N/A</v>
      </c>
      <c r="L245" s="268"/>
    </row>
    <row r="246" spans="1:12" ht="16" thickTop="1">
      <c r="A246" s="56"/>
      <c r="B246" s="57"/>
      <c r="C246" s="57"/>
      <c r="D246" s="57"/>
      <c r="E246" s="57"/>
      <c r="F246" s="57"/>
      <c r="G246" s="57"/>
      <c r="H246" s="57"/>
      <c r="I246" s="57"/>
      <c r="J246" s="57"/>
    </row>
    <row r="247" spans="1:12" ht="15.5">
      <c r="A247" s="56"/>
      <c r="B247" s="57"/>
      <c r="C247" s="57"/>
      <c r="D247" s="57"/>
      <c r="E247" s="57"/>
      <c r="F247" s="57"/>
      <c r="G247" s="57"/>
      <c r="H247" s="57"/>
      <c r="I247" s="57"/>
      <c r="J247" s="57"/>
    </row>
    <row r="248" spans="1:12">
      <c r="A248" s="274" t="s">
        <v>158</v>
      </c>
      <c r="B248" s="274"/>
      <c r="C248" s="274"/>
      <c r="D248" s="274"/>
      <c r="E248" s="274"/>
      <c r="F248" s="274"/>
      <c r="G248" s="274"/>
      <c r="H248" s="274"/>
      <c r="I248" s="274"/>
      <c r="J248" s="274"/>
      <c r="K248" s="274"/>
      <c r="L248" s="274"/>
    </row>
    <row r="249" spans="1:12" ht="15" thickBot="1">
      <c r="A249" s="81" t="s">
        <v>45</v>
      </c>
      <c r="B249" s="80"/>
      <c r="C249" s="80"/>
      <c r="D249" s="80"/>
      <c r="E249" s="80"/>
      <c r="F249" s="80"/>
      <c r="G249" s="80"/>
      <c r="H249" s="80"/>
      <c r="I249" s="80"/>
      <c r="J249" s="80"/>
      <c r="K249" s="80"/>
      <c r="L249" s="146" t="s">
        <v>40</v>
      </c>
    </row>
    <row r="250" spans="1:12" ht="39.5" thickBot="1">
      <c r="A250" s="95" t="s">
        <v>12</v>
      </c>
      <c r="B250" s="48" t="s">
        <v>46</v>
      </c>
      <c r="C250" s="49" t="s">
        <v>47</v>
      </c>
      <c r="D250" s="50" t="s">
        <v>48</v>
      </c>
      <c r="E250" s="50" t="s">
        <v>49</v>
      </c>
      <c r="F250" s="50" t="s">
        <v>50</v>
      </c>
      <c r="G250" s="48" t="s">
        <v>51</v>
      </c>
      <c r="H250" s="51" t="s">
        <v>52</v>
      </c>
      <c r="I250" s="51" t="s">
        <v>53</v>
      </c>
      <c r="J250" s="48" t="s">
        <v>54</v>
      </c>
    </row>
    <row r="251" spans="1:12">
      <c r="A251" s="96" t="s">
        <v>55</v>
      </c>
      <c r="B251" s="83" t="e">
        <f>G237</f>
        <v>#N/A</v>
      </c>
      <c r="C251" s="107" t="e">
        <f>IF($H$27&lt;&gt;"",E234,H241)</f>
        <v>#N/A</v>
      </c>
      <c r="D251" s="84" t="e">
        <f>IF(C251="",1,VLOOKUP(C251,IF(OR($L$249="",$L$249="TAB DEPRE IPCAE"),TABIPCATJSP,TABELADEPRESP),2,1))</f>
        <v>#N/A</v>
      </c>
      <c r="E251" s="123" t="e">
        <f>IF(G241=H241,C251,IF(AND($B$27&gt;C251,$B$27&lt;$L$27),$B$27,IF(AND($B$27&gt;C251,$B$27&gt;$L$27),$L$27,C251)))</f>
        <v>#N/A</v>
      </c>
      <c r="F251" s="84" t="e">
        <f>IF(E251="",1,VLOOKUP(E251,IF(OR($L$249="",$L$249="TAB DEPRE IPCAE"),TABIPCATJSP,TABELADEPRESP),2,1))</f>
        <v>#N/A</v>
      </c>
      <c r="G251" s="83" t="e">
        <f>IF(B251="","",(B251/D251)*F251)</f>
        <v>#N/A</v>
      </c>
      <c r="H251" s="85" t="e">
        <f>I237</f>
        <v>#N/A</v>
      </c>
      <c r="I251" s="85" t="e">
        <f>IF(H251="","",(H251/D251)*F251)</f>
        <v>#N/A</v>
      </c>
      <c r="J251" s="86" t="e">
        <f>IF(G251="","",G251-I251)</f>
        <v>#N/A</v>
      </c>
    </row>
    <row r="252" spans="1:12">
      <c r="A252" s="97" t="e">
        <f>"Pagamento sobre Principal"&amp;IF(G252="","","-"&amp;$A$36)</f>
        <v>#N/A</v>
      </c>
      <c r="B252" s="74"/>
      <c r="C252" s="108"/>
      <c r="D252" s="53"/>
      <c r="E252" s="108"/>
      <c r="F252" s="53"/>
      <c r="G252" s="113" t="e">
        <f>IF(E251=H237,-C246,0)</f>
        <v>#N/A</v>
      </c>
      <c r="H252" s="54"/>
      <c r="I252" s="54"/>
      <c r="J252" s="88" t="e">
        <f>IF(G252="","",G252-I252)</f>
        <v>#N/A</v>
      </c>
    </row>
    <row r="253" spans="1:12" ht="15" thickBot="1">
      <c r="A253" s="98" t="s">
        <v>56</v>
      </c>
      <c r="B253" s="90" t="e">
        <f>IF(J252="",B251,SUM(G251,J252))</f>
        <v>#N/A</v>
      </c>
      <c r="C253" s="109"/>
      <c r="D253" s="91"/>
      <c r="E253" s="109"/>
      <c r="F253" s="91"/>
      <c r="G253" s="90" t="e">
        <f>G251+G252</f>
        <v>#N/A</v>
      </c>
      <c r="H253" s="92"/>
      <c r="I253" s="92"/>
      <c r="J253" s="93" t="e">
        <f>J252+J251</f>
        <v>#N/A</v>
      </c>
    </row>
    <row r="254" spans="1:12" ht="16" thickBot="1">
      <c r="A254" s="106" t="s">
        <v>57</v>
      </c>
      <c r="B254" s="101" t="e">
        <f>IF(B253="","",B253)</f>
        <v>#N/A</v>
      </c>
      <c r="C254" s="75"/>
      <c r="D254" s="75"/>
      <c r="E254" s="75"/>
      <c r="F254" s="75"/>
      <c r="G254" s="101" t="e">
        <f>IF(G253="","",G253)</f>
        <v>#N/A</v>
      </c>
      <c r="H254" s="75">
        <f>H253</f>
        <v>0</v>
      </c>
      <c r="I254" s="75" t="e">
        <f>I251</f>
        <v>#N/A</v>
      </c>
      <c r="J254" s="101" t="e">
        <f>IF(J253="","",J253)</f>
        <v>#N/A</v>
      </c>
      <c r="L254" s="31"/>
    </row>
    <row r="255" spans="1:12" ht="15" thickTop="1"/>
    <row r="256" spans="1:12" ht="15" thickBot="1">
      <c r="A256" s="81" t="s">
        <v>58</v>
      </c>
      <c r="B256" s="80"/>
      <c r="C256" s="80"/>
      <c r="D256" s="80"/>
      <c r="E256" s="80"/>
      <c r="F256" s="80"/>
      <c r="G256" s="80"/>
      <c r="H256" s="80"/>
      <c r="I256" s="80"/>
      <c r="J256" s="80"/>
      <c r="K256" s="80"/>
      <c r="L256" s="146" t="s">
        <v>40</v>
      </c>
    </row>
    <row r="257" spans="1:12" ht="31.5" thickBot="1">
      <c r="A257" s="95" t="s">
        <v>12</v>
      </c>
      <c r="B257" s="48" t="s">
        <v>59</v>
      </c>
      <c r="C257" s="49" t="s">
        <v>60</v>
      </c>
      <c r="D257" s="49" t="s">
        <v>61</v>
      </c>
      <c r="E257" s="50" t="s">
        <v>62</v>
      </c>
      <c r="F257" s="58" t="s">
        <v>63</v>
      </c>
      <c r="G257" s="49" t="s">
        <v>64</v>
      </c>
      <c r="H257" s="49" t="s">
        <v>65</v>
      </c>
      <c r="I257" s="49" t="s">
        <v>66</v>
      </c>
      <c r="J257" s="49" t="s">
        <v>67</v>
      </c>
      <c r="K257" s="275" t="s">
        <v>68</v>
      </c>
      <c r="L257" s="276"/>
    </row>
    <row r="258" spans="1:12">
      <c r="A258" s="97" t="s">
        <v>69</v>
      </c>
      <c r="B258" s="74" t="e">
        <f>K245</f>
        <v>#N/A</v>
      </c>
      <c r="C258" s="277"/>
      <c r="D258" s="277"/>
      <c r="E258" s="280"/>
      <c r="F258" s="59" t="e">
        <f>B258</f>
        <v>#N/A</v>
      </c>
      <c r="G258" s="108" t="e">
        <f>C251</f>
        <v>#N/A</v>
      </c>
      <c r="H258" s="108" t="e">
        <f>E251</f>
        <v>#N/A</v>
      </c>
      <c r="I258" s="84" t="e">
        <f>D251</f>
        <v>#N/A</v>
      </c>
      <c r="J258" s="84" t="e">
        <f>F251</f>
        <v>#N/A</v>
      </c>
      <c r="K258" s="283" t="e">
        <f>IF(F258="","",(F258/I258)*J258)</f>
        <v>#N/A</v>
      </c>
      <c r="L258" s="284"/>
    </row>
    <row r="259" spans="1:12">
      <c r="A259" s="97" t="str">
        <f>"Pagamento sobre Juros"&amp;IF(F259="","","-"&amp;$A$36)</f>
        <v>Pagamento sobre Juros</v>
      </c>
      <c r="B259" s="74" t="str">
        <f>IF(F259="","",F259)</f>
        <v/>
      </c>
      <c r="C259" s="278"/>
      <c r="D259" s="278"/>
      <c r="E259" s="281"/>
      <c r="F259" s="59"/>
      <c r="G259" s="108"/>
      <c r="H259" s="108"/>
      <c r="I259" s="60"/>
      <c r="J259" s="60"/>
      <c r="K259" s="264"/>
      <c r="L259" s="265"/>
    </row>
    <row r="260" spans="1:12" ht="15" thickBot="1">
      <c r="A260" s="102" t="s">
        <v>71</v>
      </c>
      <c r="B260" s="103" t="str">
        <f>IF(F260="","",F260)</f>
        <v/>
      </c>
      <c r="C260" s="279"/>
      <c r="D260" s="279"/>
      <c r="E260" s="282"/>
      <c r="F260" s="104"/>
      <c r="G260" s="110"/>
      <c r="H260" s="110"/>
      <c r="I260" s="105"/>
      <c r="J260" s="105"/>
      <c r="K260" s="266" t="e">
        <f>SUM(K258:L259)</f>
        <v>#N/A</v>
      </c>
      <c r="L260" s="267"/>
    </row>
    <row r="261" spans="1:12" ht="15.5" thickTop="1" thickBot="1">
      <c r="A261" s="134" t="s">
        <v>72</v>
      </c>
      <c r="B261" s="135"/>
      <c r="C261" s="222"/>
      <c r="D261" s="136"/>
      <c r="E261" s="139"/>
      <c r="F261" s="140"/>
      <c r="G261" s="136"/>
      <c r="H261" s="136"/>
      <c r="I261" s="141"/>
      <c r="J261" s="142"/>
      <c r="K261" s="262"/>
      <c r="L261" s="263"/>
    </row>
    <row r="262" spans="1:12" ht="16" thickBot="1">
      <c r="A262" s="55" t="s">
        <v>73</v>
      </c>
      <c r="B262" s="75"/>
      <c r="C262" s="75"/>
      <c r="D262" s="75"/>
      <c r="E262" s="75"/>
      <c r="F262" s="75"/>
      <c r="G262" s="75"/>
      <c r="H262" s="75"/>
      <c r="I262" s="75"/>
      <c r="J262" s="75"/>
      <c r="K262" s="268" t="e">
        <f>IF(K260="","",SUM(K260:L261))</f>
        <v>#N/A</v>
      </c>
      <c r="L262" s="268"/>
    </row>
    <row r="263" spans="1:12" ht="16" thickTop="1">
      <c r="A263" s="177"/>
      <c r="B263" s="100"/>
      <c r="C263" s="57"/>
      <c r="D263" s="57"/>
      <c r="E263" s="57"/>
      <c r="F263" s="57"/>
      <c r="G263" s="100"/>
      <c r="H263" s="57"/>
      <c r="I263" s="57"/>
      <c r="J263" s="100"/>
      <c r="L263" s="31"/>
    </row>
    <row r="264" spans="1:12" ht="19.5">
      <c r="A264" s="331" t="s">
        <v>202</v>
      </c>
      <c r="B264" s="331"/>
      <c r="C264" s="331"/>
      <c r="D264" s="331"/>
      <c r="E264" s="331"/>
      <c r="F264" s="331"/>
      <c r="G264" s="331"/>
      <c r="H264" s="331"/>
      <c r="I264" s="331"/>
      <c r="J264" s="331"/>
      <c r="K264" s="331"/>
      <c r="L264" s="331"/>
    </row>
    <row r="265" spans="1:12">
      <c r="A265" s="274" t="s">
        <v>157</v>
      </c>
      <c r="B265" s="274"/>
      <c r="C265" s="274"/>
      <c r="D265" s="274"/>
      <c r="E265" s="274"/>
      <c r="F265" s="274"/>
      <c r="G265" s="274"/>
      <c r="H265" s="274"/>
      <c r="I265" s="274"/>
      <c r="J265" s="274"/>
      <c r="K265" s="274"/>
      <c r="L265" s="274"/>
    </row>
    <row r="266" spans="1:12" ht="15" thickBot="1">
      <c r="A266" s="81" t="s">
        <v>45</v>
      </c>
      <c r="B266" s="80"/>
      <c r="C266" s="80"/>
      <c r="D266" s="80"/>
      <c r="E266" s="80"/>
      <c r="F266" s="80"/>
      <c r="G266" s="80"/>
      <c r="H266" s="80"/>
      <c r="I266" s="80"/>
      <c r="J266" s="80"/>
      <c r="K266" s="80"/>
      <c r="L266" s="146" t="s">
        <v>40</v>
      </c>
    </row>
    <row r="267" spans="1:12" ht="39.5" thickBot="1">
      <c r="A267" s="95" t="s">
        <v>12</v>
      </c>
      <c r="B267" s="48" t="s">
        <v>46</v>
      </c>
      <c r="C267" s="49" t="s">
        <v>47</v>
      </c>
      <c r="D267" s="50" t="s">
        <v>48</v>
      </c>
      <c r="E267" s="50" t="s">
        <v>49</v>
      </c>
      <c r="F267" s="50" t="s">
        <v>50</v>
      </c>
      <c r="G267" s="48" t="s">
        <v>51</v>
      </c>
      <c r="H267" s="51" t="s">
        <v>52</v>
      </c>
      <c r="I267" s="51" t="s">
        <v>53</v>
      </c>
      <c r="J267" s="48" t="s">
        <v>54</v>
      </c>
    </row>
    <row r="268" spans="1:12">
      <c r="A268" s="96" t="s">
        <v>55</v>
      </c>
      <c r="B268" s="83" t="e">
        <f>G254</f>
        <v>#N/A</v>
      </c>
      <c r="C268" s="107" t="e">
        <f>H258</f>
        <v>#N/A</v>
      </c>
      <c r="D268" s="84" t="e">
        <f>IF(C268="",1,VLOOKUP(C268,IF(OR($L$197="",$L$197="TAB DEPRE IPCAE"),TABIPCATJSP,TABELADEPRESP),2,1))</f>
        <v>#N/A</v>
      </c>
      <c r="E268" s="165" t="e">
        <f>IF(OR(H258&lt;O206,C268&gt;L218),C268,IF($K$27&lt;$O$23,IF(AND($H$27&gt;$O$23,$H$27&lt;$K$27,$H$27&lt;&gt;""),$H$27,$O$23),IF(AND($H$27&gt;$O$23,$H$27&lt;$K$27,$H$27&lt;&gt;""),$H$27,IF($K$27&gt;B218,B218,$K$27-5))))</f>
        <v>#N/A</v>
      </c>
      <c r="F268" s="84" t="e">
        <f>IF(E268="",1,VLOOKUP(E268,IF(OR($L$197="",$L$197="TAB DEPRE IPCAE"),TABIPCATJSP,TABELADEPRESP),2,1))</f>
        <v>#N/A</v>
      </c>
      <c r="G268" s="83" t="e">
        <f>IF(B268="","",(B268/D268)*F268)</f>
        <v>#N/A</v>
      </c>
      <c r="H268" s="85" t="e">
        <f>I254</f>
        <v>#N/A</v>
      </c>
      <c r="I268" s="85" t="e">
        <f>IF(H268="","",(H268/D268)*F268)</f>
        <v>#N/A</v>
      </c>
      <c r="J268" s="86" t="e">
        <f>IF(G268="","",G268-I268)</f>
        <v>#N/A</v>
      </c>
    </row>
    <row r="269" spans="1:12">
      <c r="A269" s="97" t="e">
        <f>"Pagamento sobre Principal"&amp;IF(G269="","","-"&amp;$A$36)</f>
        <v>#N/A</v>
      </c>
      <c r="B269" s="74"/>
      <c r="C269" s="108" t="e">
        <f>C268</f>
        <v>#N/A</v>
      </c>
      <c r="D269" s="53" t="e">
        <f>IF(C269="",1,VLOOKUP(C269,IF(OR($L$197="",$L$197="TAB DEPRE IPCAE"),TABIPCATJSP,TABELADEPRESP),2,1))</f>
        <v>#N/A</v>
      </c>
      <c r="E269" s="108" t="e">
        <f>E268</f>
        <v>#N/A</v>
      </c>
      <c r="F269" s="53" t="e">
        <f>IF(E268="",1,VLOOKUP(E268,IF(OR($L$197="",$L$197="TAB DEPRE IPCAE"),TABIPCATJSP,TABELADEPRESP),2,1))</f>
        <v>#N/A</v>
      </c>
      <c r="G269" s="113" t="e">
        <f>IF(E268=$H$27,-$C$36,0)</f>
        <v>#N/A</v>
      </c>
      <c r="H269" s="54"/>
      <c r="I269" s="54" t="e">
        <f>IF(OR(G269=0,$I$36=""),0,$I$36*-1)</f>
        <v>#N/A</v>
      </c>
      <c r="J269" s="88" t="e">
        <f>IF(G269="","",G269-I269)</f>
        <v>#N/A</v>
      </c>
    </row>
    <row r="270" spans="1:12" ht="15" thickBot="1">
      <c r="A270" s="98" t="s">
        <v>56</v>
      </c>
      <c r="B270" s="90"/>
      <c r="C270" s="109"/>
      <c r="D270" s="91"/>
      <c r="E270" s="109"/>
      <c r="F270" s="91"/>
      <c r="G270" s="90" t="e">
        <f>G268+G269</f>
        <v>#N/A</v>
      </c>
      <c r="H270" s="92"/>
      <c r="I270" s="90" t="e">
        <f>I268+I269</f>
        <v>#N/A</v>
      </c>
      <c r="J270" s="93" t="e">
        <f>IF(J269="",J268,G270-I270)</f>
        <v>#N/A</v>
      </c>
    </row>
    <row r="271" spans="1:12" ht="16" thickBot="1">
      <c r="A271" s="106" t="s">
        <v>57</v>
      </c>
      <c r="B271" s="101" t="str">
        <f>IF(B270="","",B270)</f>
        <v/>
      </c>
      <c r="C271" s="75"/>
      <c r="D271" s="75"/>
      <c r="E271" s="75"/>
      <c r="F271" s="75"/>
      <c r="G271" s="101" t="e">
        <f>IF(G270="","",G270)</f>
        <v>#N/A</v>
      </c>
      <c r="H271" s="75"/>
      <c r="I271" s="75" t="e">
        <f>I270</f>
        <v>#N/A</v>
      </c>
      <c r="J271" s="101" t="e">
        <f>IF(J270="","",J270)</f>
        <v>#N/A</v>
      </c>
      <c r="L271" s="31"/>
    </row>
    <row r="272" spans="1:12" ht="15" thickTop="1"/>
    <row r="273" spans="1:12" ht="15" thickBot="1">
      <c r="A273" s="81" t="s">
        <v>58</v>
      </c>
      <c r="B273" s="80"/>
      <c r="C273" s="80"/>
      <c r="D273" s="80"/>
      <c r="E273" s="80"/>
      <c r="F273" s="80"/>
      <c r="G273" s="80"/>
      <c r="H273" s="80"/>
      <c r="I273" s="80"/>
      <c r="J273" s="80"/>
      <c r="K273" s="80"/>
      <c r="L273" s="146" t="s">
        <v>40</v>
      </c>
    </row>
    <row r="274" spans="1:12" ht="31.5" thickBot="1">
      <c r="A274" s="95" t="s">
        <v>12</v>
      </c>
      <c r="B274" s="48" t="s">
        <v>59</v>
      </c>
      <c r="C274" s="49" t="s">
        <v>60</v>
      </c>
      <c r="D274" s="49" t="s">
        <v>61</v>
      </c>
      <c r="E274" s="50" t="s">
        <v>62</v>
      </c>
      <c r="F274" s="58" t="s">
        <v>63</v>
      </c>
      <c r="G274" s="49" t="s">
        <v>64</v>
      </c>
      <c r="H274" s="49" t="s">
        <v>65</v>
      </c>
      <c r="I274" s="49" t="s">
        <v>66</v>
      </c>
      <c r="J274" s="49" t="s">
        <v>67</v>
      </c>
      <c r="K274" s="275" t="s">
        <v>68</v>
      </c>
      <c r="L274" s="276"/>
    </row>
    <row r="275" spans="1:12">
      <c r="A275" s="97" t="s">
        <v>69</v>
      </c>
      <c r="B275" s="74" t="e">
        <f>K262</f>
        <v>#N/A</v>
      </c>
      <c r="C275" s="277" t="s">
        <v>70</v>
      </c>
      <c r="D275" s="277" t="s">
        <v>70</v>
      </c>
      <c r="E275" s="280" t="s">
        <v>70</v>
      </c>
      <c r="F275" s="59" t="e">
        <f>IF(B275="","",B275)</f>
        <v>#N/A</v>
      </c>
      <c r="G275" s="108" t="e">
        <f>C268</f>
        <v>#N/A</v>
      </c>
      <c r="H275" s="108" t="e">
        <f>E268</f>
        <v>#N/A</v>
      </c>
      <c r="I275" s="84" t="e">
        <f>IF(G275="",1,VLOOKUP(G275,IF(OR($L$273="",$L$273="TAB DEPRE IPCAE"),TABIPCATJSP,TABELADEPRESP),2,1))</f>
        <v>#N/A</v>
      </c>
      <c r="J275" s="84" t="e">
        <f>IF(H275="",1,VLOOKUP(H275,IF(OR($L$273="",$L$273="TAB DEPRE IPCAE"),TABIPCATJSP,TABELADEPRESP),2,1))</f>
        <v>#N/A</v>
      </c>
      <c r="K275" s="283" t="e">
        <f>IF(F275="","",(F275/I275)*J275)</f>
        <v>#N/A</v>
      </c>
      <c r="L275" s="284"/>
    </row>
    <row r="276" spans="1:12">
      <c r="A276" s="97" t="str">
        <f>"Pagamento sobre Juros"&amp;IF(F276="","","-"&amp;$A$36)</f>
        <v>Pagamento sobre Juros</v>
      </c>
      <c r="B276" s="74"/>
      <c r="C276" s="278"/>
      <c r="D276" s="278"/>
      <c r="E276" s="281"/>
      <c r="F276" s="59"/>
      <c r="G276" s="108"/>
      <c r="H276" s="108"/>
      <c r="I276" s="60"/>
      <c r="J276" s="60"/>
      <c r="K276" s="264" t="e">
        <f>IF(E268=$H$27,-$E$36,0)</f>
        <v>#N/A</v>
      </c>
      <c r="L276" s="265"/>
    </row>
    <row r="277" spans="1:12" ht="15" thickBot="1">
      <c r="A277" s="102" t="s">
        <v>71</v>
      </c>
      <c r="B277" s="103"/>
      <c r="C277" s="279"/>
      <c r="D277" s="279"/>
      <c r="E277" s="282"/>
      <c r="F277" s="104"/>
      <c r="G277" s="110" t="str">
        <f>IF(H276="","",EOMONTH(H276,0))</f>
        <v/>
      </c>
      <c r="H277" s="110" t="str">
        <f>IF(H276="","",MIN(EOMONTH(D253,0),EOMONTH($O$14,0),EOMONTH($K$27,0)))</f>
        <v/>
      </c>
      <c r="I277" s="105"/>
      <c r="J277" s="105"/>
      <c r="K277" s="266" t="e">
        <f>K275+K276</f>
        <v>#N/A</v>
      </c>
      <c r="L277" s="267"/>
    </row>
    <row r="278" spans="1:12" ht="15.5" thickTop="1" thickBot="1">
      <c r="A278" s="134" t="s">
        <v>72</v>
      </c>
      <c r="B278" s="135" t="e">
        <f>B268</f>
        <v>#N/A</v>
      </c>
      <c r="C278" s="136" t="e">
        <f>EOMONTH(C268,0)</f>
        <v>#N/A</v>
      </c>
      <c r="D278" s="136" t="e">
        <f>EOMONTH(E268,0)</f>
        <v>#N/A</v>
      </c>
      <c r="E278" s="245" t="e">
        <f>((2%/12)*((D278-C278)/30))</f>
        <v>#N/A</v>
      </c>
      <c r="F278" s="140" t="e">
        <f>IF(B278="","",B278*E278)</f>
        <v>#N/A</v>
      </c>
      <c r="G278" s="136" t="e">
        <f>IF(C278="","",EOMONTH(G275,0))</f>
        <v>#N/A</v>
      </c>
      <c r="H278" s="136" t="e">
        <f>IF(D278="","",EOMONTH(D278,0))</f>
        <v>#N/A</v>
      </c>
      <c r="I278" s="84" t="e">
        <f>IF(G278="",1,VLOOKUP(G278,IF(OR($L$273="",$L$273="TAB DEPRE IPCAE"),TABIPCATJSP,TABELADEPRESP),2,1))</f>
        <v>#N/A</v>
      </c>
      <c r="J278" s="84" t="e">
        <f>IF(H278="",1,VLOOKUP(H278,IF(OR($L$273="",$L$273="TAB DEPRE IPCAE"),TABIPCATJSP,TABELADEPRESP),2,1))</f>
        <v>#N/A</v>
      </c>
      <c r="K278" s="262" t="e">
        <f>IF(F278="","",(F278/I278)*J278)</f>
        <v>#N/A</v>
      </c>
      <c r="L278" s="263"/>
    </row>
    <row r="279" spans="1:12" ht="16" thickBot="1">
      <c r="A279" s="55" t="s">
        <v>73</v>
      </c>
      <c r="B279" s="75"/>
      <c r="C279" s="75"/>
      <c r="D279" s="75"/>
      <c r="E279" s="75"/>
      <c r="F279" s="75"/>
      <c r="G279" s="75"/>
      <c r="H279" s="75"/>
      <c r="I279" s="75"/>
      <c r="J279" s="75"/>
      <c r="K279" s="268" t="e">
        <f>IF(K277="","",SUM(K277:L278))</f>
        <v>#N/A</v>
      </c>
      <c r="L279" s="268"/>
    </row>
    <row r="280" spans="1:12" ht="16" thickTop="1">
      <c r="A280" s="56"/>
      <c r="B280" s="57"/>
      <c r="C280" s="57"/>
      <c r="D280" s="57"/>
      <c r="E280" s="57"/>
      <c r="F280" s="57"/>
      <c r="G280" s="57"/>
      <c r="H280" s="57"/>
      <c r="I280" s="57"/>
      <c r="J280" s="57"/>
    </row>
    <row r="281" spans="1:12" ht="15.5">
      <c r="A281" s="56"/>
      <c r="B281" s="57"/>
      <c r="C281" s="57"/>
      <c r="D281" s="57"/>
      <c r="E281" s="57"/>
      <c r="F281" s="57"/>
      <c r="G281" s="57"/>
      <c r="H281" s="57"/>
      <c r="I281" s="57"/>
      <c r="J281" s="57"/>
    </row>
    <row r="282" spans="1:12">
      <c r="A282" s="274" t="s">
        <v>158</v>
      </c>
      <c r="B282" s="274"/>
      <c r="C282" s="274"/>
      <c r="D282" s="274"/>
      <c r="E282" s="274"/>
      <c r="F282" s="274"/>
      <c r="G282" s="274"/>
      <c r="H282" s="274"/>
      <c r="I282" s="274"/>
      <c r="J282" s="274"/>
      <c r="K282" s="274"/>
      <c r="L282" s="274"/>
    </row>
    <row r="283" spans="1:12" ht="15" thickBot="1">
      <c r="A283" s="81" t="s">
        <v>45</v>
      </c>
      <c r="B283" s="80"/>
      <c r="C283" s="80"/>
      <c r="D283" s="80"/>
      <c r="E283" s="80"/>
      <c r="F283" s="80"/>
      <c r="G283" s="80"/>
      <c r="H283" s="80"/>
      <c r="I283" s="80"/>
      <c r="J283" s="80"/>
      <c r="K283" s="80"/>
      <c r="L283" s="146" t="s">
        <v>40</v>
      </c>
    </row>
    <row r="284" spans="1:12" ht="39.5" thickBot="1">
      <c r="A284" s="95" t="s">
        <v>12</v>
      </c>
      <c r="B284" s="48" t="s">
        <v>46</v>
      </c>
      <c r="C284" s="49" t="s">
        <v>47</v>
      </c>
      <c r="D284" s="50" t="s">
        <v>48</v>
      </c>
      <c r="E284" s="50" t="s">
        <v>49</v>
      </c>
      <c r="F284" s="50" t="s">
        <v>50</v>
      </c>
      <c r="G284" s="48" t="s">
        <v>51</v>
      </c>
      <c r="H284" s="51" t="s">
        <v>52</v>
      </c>
      <c r="I284" s="51" t="s">
        <v>53</v>
      </c>
      <c r="J284" s="48" t="s">
        <v>54</v>
      </c>
    </row>
    <row r="285" spans="1:12">
      <c r="A285" s="96" t="s">
        <v>55</v>
      </c>
      <c r="B285" s="83" t="e">
        <f>G271</f>
        <v>#N/A</v>
      </c>
      <c r="C285" s="107" t="e">
        <f>IF($H$27&lt;&gt;"",E268,H275)</f>
        <v>#N/A</v>
      </c>
      <c r="D285" s="84" t="e">
        <f>IF(C285="",1,VLOOKUP(C285,IF(OR($L$283="",$L$283="TAB DEPRE IPCAE"),TABIPCATJSP,TABELADEPRESP),2,1))</f>
        <v>#N/A</v>
      </c>
      <c r="E285" s="107" t="e">
        <f>IF(G269=0,C285,IF(F253&gt;O241,F253,IF(H253&lt;&gt;"",IF(K253&gt;O241,O241,K253-5),IF(H253&gt;K253,H253,MIN(H253,K253-5)))))</f>
        <v>#N/A</v>
      </c>
      <c r="F285" s="84" t="e">
        <f>IF(E285="",1,VLOOKUP(E285,IF(OR($L$283="",$L$283="TAB DEPRE IPCAE"),TABIPCATJSP,TABELADEPRESP),2,1))</f>
        <v>#N/A</v>
      </c>
      <c r="G285" s="83" t="e">
        <f>IF(B285="","",(B285/D285)*F285)</f>
        <v>#N/A</v>
      </c>
      <c r="H285" s="85" t="e">
        <f>I271</f>
        <v>#N/A</v>
      </c>
      <c r="I285" s="85" t="e">
        <f>IF(H285="","",(H285/D285)*F285)</f>
        <v>#N/A</v>
      </c>
      <c r="J285" s="86" t="e">
        <f>IF(G285="","",G285-I285)</f>
        <v>#N/A</v>
      </c>
    </row>
    <row r="286" spans="1:12">
      <c r="A286" s="97" t="e">
        <f>"Pagamento sobre Principal"&amp;IF(G286="","","-"&amp;$A$36)</f>
        <v>#N/A</v>
      </c>
      <c r="B286" s="74"/>
      <c r="C286" s="108"/>
      <c r="D286" s="53"/>
      <c r="E286" s="108"/>
      <c r="F286" s="53"/>
      <c r="G286" s="113" t="e">
        <f>IF(E285=H271,-C280,0)</f>
        <v>#N/A</v>
      </c>
      <c r="H286" s="54"/>
      <c r="I286" s="54"/>
      <c r="J286" s="88" t="e">
        <f>IF(G286="","",G286-I286)</f>
        <v>#N/A</v>
      </c>
    </row>
    <row r="287" spans="1:12" ht="15" thickBot="1">
      <c r="A287" s="98" t="s">
        <v>56</v>
      </c>
      <c r="B287" s="90" t="e">
        <f>IF(J286="",B285,SUM(G285,J286))</f>
        <v>#N/A</v>
      </c>
      <c r="C287" s="109"/>
      <c r="D287" s="91"/>
      <c r="E287" s="109"/>
      <c r="F287" s="91"/>
      <c r="G287" s="90" t="e">
        <f>G285+G286</f>
        <v>#N/A</v>
      </c>
      <c r="H287" s="92"/>
      <c r="I287" s="92"/>
      <c r="J287" s="93" t="e">
        <f>J286+J285</f>
        <v>#N/A</v>
      </c>
    </row>
    <row r="288" spans="1:12" ht="16" thickBot="1">
      <c r="A288" s="106" t="s">
        <v>57</v>
      </c>
      <c r="B288" s="101" t="e">
        <f>IF(B287="","",B287)</f>
        <v>#N/A</v>
      </c>
      <c r="C288" s="75"/>
      <c r="D288" s="75"/>
      <c r="E288" s="75"/>
      <c r="F288" s="75"/>
      <c r="G288" s="101" t="e">
        <f>IF(G287="","",G287)</f>
        <v>#N/A</v>
      </c>
      <c r="H288" s="75">
        <f>H287</f>
        <v>0</v>
      </c>
      <c r="I288" s="75" t="e">
        <f>I285</f>
        <v>#N/A</v>
      </c>
      <c r="J288" s="101" t="e">
        <f>IF(J287="","",J287)*IF((G287+K294+K295)&lt;(G32*1.03),1,0.94)</f>
        <v>#N/A</v>
      </c>
      <c r="L288" s="31"/>
    </row>
    <row r="289" spans="1:15" ht="15" thickTop="1"/>
    <row r="290" spans="1:15" ht="15" thickBot="1">
      <c r="A290" s="81" t="s">
        <v>58</v>
      </c>
      <c r="B290" s="80"/>
      <c r="C290" s="80"/>
      <c r="D290" s="80"/>
      <c r="E290" s="80"/>
      <c r="F290" s="80"/>
      <c r="G290" s="80"/>
      <c r="H290" s="80"/>
      <c r="I290" s="80"/>
      <c r="J290" s="80"/>
      <c r="K290" s="80"/>
      <c r="L290" s="146" t="s">
        <v>40</v>
      </c>
    </row>
    <row r="291" spans="1:15" ht="31.5" thickBot="1">
      <c r="A291" s="95" t="s">
        <v>12</v>
      </c>
      <c r="B291" s="48" t="s">
        <v>59</v>
      </c>
      <c r="C291" s="49" t="s">
        <v>60</v>
      </c>
      <c r="D291" s="49" t="s">
        <v>61</v>
      </c>
      <c r="E291" s="50" t="s">
        <v>62</v>
      </c>
      <c r="F291" s="58" t="s">
        <v>63</v>
      </c>
      <c r="G291" s="49" t="s">
        <v>64</v>
      </c>
      <c r="H291" s="49" t="s">
        <v>65</v>
      </c>
      <c r="I291" s="49" t="s">
        <v>66</v>
      </c>
      <c r="J291" s="49" t="s">
        <v>67</v>
      </c>
      <c r="K291" s="275" t="s">
        <v>68</v>
      </c>
      <c r="L291" s="276"/>
    </row>
    <row r="292" spans="1:15">
      <c r="A292" s="97" t="s">
        <v>69</v>
      </c>
      <c r="B292" s="74" t="e">
        <f>K279</f>
        <v>#N/A</v>
      </c>
      <c r="C292" s="277"/>
      <c r="D292" s="277"/>
      <c r="E292" s="280"/>
      <c r="F292" s="59" t="e">
        <f>B292</f>
        <v>#N/A</v>
      </c>
      <c r="G292" s="108" t="e">
        <f>C285</f>
        <v>#N/A</v>
      </c>
      <c r="H292" s="108" t="e">
        <f>E285</f>
        <v>#N/A</v>
      </c>
      <c r="I292" s="84" t="e">
        <f>D285</f>
        <v>#N/A</v>
      </c>
      <c r="J292" s="84" t="e">
        <f>F285</f>
        <v>#N/A</v>
      </c>
      <c r="K292" s="283" t="e">
        <f>IF(F292="","",(F292/I292)*J292)</f>
        <v>#N/A</v>
      </c>
      <c r="L292" s="284"/>
    </row>
    <row r="293" spans="1:15">
      <c r="A293" s="97" t="str">
        <f>"Pagamento sobre Juros"&amp;IF(F293="","","-"&amp;$A$36)</f>
        <v>Pagamento sobre Juros</v>
      </c>
      <c r="B293" s="74" t="str">
        <f>IF(F293="","",F293)</f>
        <v/>
      </c>
      <c r="C293" s="278"/>
      <c r="D293" s="278"/>
      <c r="E293" s="281"/>
      <c r="F293" s="59"/>
      <c r="G293" s="108"/>
      <c r="H293" s="108"/>
      <c r="I293" s="60"/>
      <c r="J293" s="60"/>
      <c r="K293" s="264"/>
      <c r="L293" s="265"/>
    </row>
    <row r="294" spans="1:15" ht="15" thickBot="1">
      <c r="A294" s="102" t="s">
        <v>71</v>
      </c>
      <c r="B294" s="103" t="str">
        <f>IF(F294="","",F294)</f>
        <v/>
      </c>
      <c r="C294" s="279"/>
      <c r="D294" s="279"/>
      <c r="E294" s="282"/>
      <c r="F294" s="104"/>
      <c r="G294" s="110"/>
      <c r="H294" s="110"/>
      <c r="I294" s="105"/>
      <c r="J294" s="105"/>
      <c r="K294" s="266" t="e">
        <f>SUM(K292:L293)</f>
        <v>#N/A</v>
      </c>
      <c r="L294" s="267"/>
    </row>
    <row r="295" spans="1:15" ht="15.5" thickTop="1" thickBot="1">
      <c r="A295" s="134" t="s">
        <v>72</v>
      </c>
      <c r="B295" s="135" t="e">
        <f>B288</f>
        <v>#N/A</v>
      </c>
      <c r="C295" s="222" t="e">
        <f>IF(G269=0,EOMONTH(C285,0),IF(B295="","",EOMONTH(C285,1)))</f>
        <v>#N/A</v>
      </c>
      <c r="D295" s="136" t="e">
        <f>EOMONTH(E285,0)</f>
        <v>#N/A</v>
      </c>
      <c r="E295" s="245" t="e">
        <f>((2%/12)*((D295-C295)/30))</f>
        <v>#N/A</v>
      </c>
      <c r="F295" s="140" t="e">
        <f>IF(B295="","",B295*E295)</f>
        <v>#N/A</v>
      </c>
      <c r="G295" s="136" t="e">
        <f>IF(C295="","",EOMONTH(G292,0))</f>
        <v>#N/A</v>
      </c>
      <c r="H295" s="136" t="e">
        <f>IF(D295="","",EOMONTH(D295,0))</f>
        <v>#N/A</v>
      </c>
      <c r="I295" s="141" t="e">
        <f>IF(G295="",1,VLOOKUP(G295,IF(OR($L$290="",$L$290="TAB DEPRE IPCAE"),TABIPCATJSP,TABELADEPRESP),2,1))</f>
        <v>#N/A</v>
      </c>
      <c r="J295" s="142" t="e">
        <f>IF(H295="",1,VLOOKUP(H295,IF(OR($L$290="",$L$290="TAB DEPRE IPCAE"),TABIPCATJSP,TABELADEPRESP),2,1))</f>
        <v>#N/A</v>
      </c>
      <c r="K295" s="262" t="e">
        <f>IF(F295="","",(F295/I295)*J295)</f>
        <v>#N/A</v>
      </c>
      <c r="L295" s="263"/>
    </row>
    <row r="296" spans="1:15" ht="16" thickBot="1">
      <c r="A296" s="55" t="s">
        <v>73</v>
      </c>
      <c r="B296" s="75"/>
      <c r="C296" s="75"/>
      <c r="D296" s="75"/>
      <c r="E296" s="75"/>
      <c r="F296" s="75"/>
      <c r="G296" s="75"/>
      <c r="H296" s="75"/>
      <c r="I296" s="75"/>
      <c r="J296" s="75"/>
      <c r="K296" s="268" t="e">
        <f>IF(K294="","",SUM(K294:L295))*IF((G287+K294+K295)&lt;(G32*1.03),1,0.94)</f>
        <v>#N/A</v>
      </c>
      <c r="L296" s="268"/>
    </row>
    <row r="297" spans="1:15" ht="16" thickTop="1">
      <c r="A297" s="177"/>
      <c r="B297" s="100"/>
      <c r="C297" s="57"/>
      <c r="D297" s="57"/>
      <c r="E297" s="57"/>
      <c r="F297" s="57"/>
      <c r="G297" s="100"/>
      <c r="H297" s="57"/>
      <c r="I297" s="57"/>
      <c r="J297" s="100"/>
      <c r="L297" s="31"/>
    </row>
    <row r="298" spans="1:15" ht="15.5">
      <c r="A298" s="177"/>
      <c r="B298" s="100"/>
      <c r="C298" s="57"/>
      <c r="D298" s="57"/>
      <c r="E298" s="57"/>
      <c r="F298" s="57"/>
      <c r="G298" s="100"/>
      <c r="H298" s="57"/>
      <c r="I298" s="57"/>
      <c r="J298" s="100"/>
      <c r="L298" s="31"/>
    </row>
    <row r="299" spans="1:15" ht="15.5">
      <c r="A299" s="56"/>
      <c r="B299" s="57"/>
      <c r="C299" s="57"/>
      <c r="D299" s="57"/>
      <c r="E299" s="57"/>
      <c r="F299" s="57"/>
      <c r="G299" s="57"/>
      <c r="H299" s="57"/>
      <c r="I299" s="57"/>
      <c r="J299" s="57"/>
    </row>
    <row r="300" spans="1:15">
      <c r="A300" s="326" t="s">
        <v>27</v>
      </c>
      <c r="B300" s="327"/>
      <c r="C300" s="327"/>
      <c r="D300" s="327"/>
      <c r="E300" s="327"/>
      <c r="F300" s="327"/>
      <c r="G300" s="327"/>
      <c r="H300" s="327"/>
      <c r="I300" s="327"/>
      <c r="J300" s="327"/>
      <c r="K300" s="327"/>
      <c r="L300" s="327"/>
    </row>
    <row r="301" spans="1:15" ht="15" thickBot="1">
      <c r="H301" s="254" t="s">
        <v>170</v>
      </c>
      <c r="I301" s="255"/>
      <c r="J301" s="255"/>
      <c r="K301" s="255"/>
      <c r="L301" s="256"/>
    </row>
    <row r="302" spans="1:15" ht="15" thickBot="1">
      <c r="E302" s="302" t="s">
        <v>117</v>
      </c>
      <c r="F302" s="303"/>
      <c r="H302" s="61" t="s">
        <v>29</v>
      </c>
      <c r="K302" s="257" t="e">
        <f>J288</f>
        <v>#N/A</v>
      </c>
      <c r="L302" s="258"/>
      <c r="N302" s="149"/>
    </row>
    <row r="303" spans="1:15" ht="15" thickBot="1">
      <c r="A303" s="161"/>
      <c r="B303" s="161"/>
      <c r="C303" s="161"/>
      <c r="E303" s="158"/>
      <c r="F303" s="203" t="e">
        <f>K314</f>
        <v>#N/A</v>
      </c>
      <c r="H303" s="62"/>
      <c r="L303" s="63"/>
      <c r="N303" s="149"/>
      <c r="O303" s="149"/>
    </row>
    <row r="304" spans="1:15">
      <c r="A304" s="161"/>
      <c r="B304" s="328" t="s">
        <v>116</v>
      </c>
      <c r="C304" s="328"/>
      <c r="E304" s="160" t="s">
        <v>143</v>
      </c>
      <c r="F304" s="163">
        <v>0.9</v>
      </c>
      <c r="H304" s="64" t="s">
        <v>30</v>
      </c>
      <c r="K304" s="259" t="e">
        <f>K296</f>
        <v>#N/A</v>
      </c>
      <c r="L304" s="260"/>
    </row>
    <row r="305" spans="1:16" ht="15" thickBot="1">
      <c r="A305" s="161"/>
      <c r="D305" s="149"/>
      <c r="E305" s="160"/>
      <c r="F305" s="159"/>
      <c r="H305" s="62"/>
      <c r="L305" s="63"/>
    </row>
    <row r="306" spans="1:16" ht="15" thickBot="1">
      <c r="D306" s="149"/>
      <c r="E306" s="202" t="s">
        <v>115</v>
      </c>
      <c r="F306" s="203" t="e">
        <f>F303*F304</f>
        <v>#N/A</v>
      </c>
      <c r="H306" s="65" t="s">
        <v>31</v>
      </c>
      <c r="J306" s="66"/>
      <c r="K306" s="329" t="e">
        <f>K302+K304</f>
        <v>#N/A</v>
      </c>
      <c r="L306" s="330"/>
      <c r="M306" s="149"/>
      <c r="N306" s="248" t="s">
        <v>175</v>
      </c>
      <c r="O306" s="249"/>
    </row>
    <row r="307" spans="1:16" ht="15" thickBot="1">
      <c r="D307" s="149"/>
      <c r="H307" s="67"/>
      <c r="J307" s="66"/>
      <c r="K307" s="320">
        <f>B27</f>
        <v>46142</v>
      </c>
      <c r="L307" s="321"/>
      <c r="N307" s="209" t="s">
        <v>183</v>
      </c>
      <c r="O307" s="210" t="e">
        <f>IF(B13="sim",G285*0.94*0.9,IF(G288=(J288+I285),G288,(I285*0.94)+J288))</f>
        <v>#N/A</v>
      </c>
    </row>
    <row r="308" spans="1:16" ht="15" thickBot="1">
      <c r="D308" s="149"/>
      <c r="E308" s="302" t="s">
        <v>114</v>
      </c>
      <c r="F308" s="303"/>
      <c r="H308" s="62"/>
      <c r="L308" s="63"/>
      <c r="N308" s="211" t="s">
        <v>176</v>
      </c>
      <c r="O308" s="212" t="e">
        <f>IF(B13="sim",K296*0.9,K296)</f>
        <v>#N/A</v>
      </c>
    </row>
    <row r="309" spans="1:16" ht="15" thickBot="1">
      <c r="D309" s="149"/>
      <c r="E309" s="158"/>
      <c r="F309" s="203" t="e">
        <f>G187-H187</f>
        <v>#N/A</v>
      </c>
      <c r="G309" s="99"/>
      <c r="H309" s="68" t="s">
        <v>32</v>
      </c>
      <c r="K309" s="259" t="e">
        <f>IF((K294+K295)=K296,((G288+K294+K295)*H310),((G288+K294+K295)*H310)*0.94)</f>
        <v>#N/A</v>
      </c>
      <c r="L309" s="260"/>
      <c r="N309" s="217" t="s">
        <v>177</v>
      </c>
      <c r="O309" s="218" t="e">
        <f>O307+O308</f>
        <v>#N/A</v>
      </c>
    </row>
    <row r="310" spans="1:16" ht="15" customHeight="1">
      <c r="E310" s="160" t="s">
        <v>167</v>
      </c>
      <c r="F310" s="204">
        <v>1</v>
      </c>
      <c r="G310" s="206" t="s">
        <v>173</v>
      </c>
      <c r="H310" s="205">
        <v>0.3</v>
      </c>
      <c r="I310" s="99" t="s">
        <v>80</v>
      </c>
      <c r="J310" s="99" t="s">
        <v>43</v>
      </c>
      <c r="L310" s="70"/>
      <c r="N310" s="211" t="s">
        <v>180</v>
      </c>
      <c r="O310" s="212" t="e">
        <f>IF(B13="sim",-I285*0.9*0.94,IF((K294+K295)=K296,-I285,-I285*0.94))</f>
        <v>#N/A</v>
      </c>
    </row>
    <row r="311" spans="1:16" ht="15" thickBot="1">
      <c r="D311" s="149"/>
      <c r="E311" s="160" t="s">
        <v>172</v>
      </c>
      <c r="F311" s="159" t="e">
        <f>RRA!E14</f>
        <v>#N/A</v>
      </c>
      <c r="H311" s="69"/>
      <c r="L311" s="70"/>
      <c r="N311" s="211" t="s">
        <v>179</v>
      </c>
      <c r="O311" s="212" t="e">
        <f>IF(B13="sim",-F311*0.9,-F311)</f>
        <v>#N/A</v>
      </c>
    </row>
    <row r="312" spans="1:16" ht="15" thickBot="1">
      <c r="D312" s="149"/>
      <c r="E312" s="202" t="s">
        <v>115</v>
      </c>
      <c r="F312" s="203" t="e">
        <f>F309-F311</f>
        <v>#N/A</v>
      </c>
      <c r="H312" s="68" t="s">
        <v>171</v>
      </c>
      <c r="K312" s="259" t="e">
        <f>F311</f>
        <v>#N/A</v>
      </c>
      <c r="L312" s="260"/>
      <c r="N312" s="213" t="s">
        <v>206</v>
      </c>
      <c r="O312" s="214" t="e">
        <f>-O309*H310</f>
        <v>#N/A</v>
      </c>
    </row>
    <row r="313" spans="1:16" ht="15" thickBot="1">
      <c r="D313" s="149"/>
      <c r="H313" s="69"/>
      <c r="L313" s="70"/>
      <c r="N313" s="215" t="s">
        <v>178</v>
      </c>
      <c r="O313" s="216" t="e">
        <f>O309+O310+O312+O311</f>
        <v>#N/A</v>
      </c>
    </row>
    <row r="314" spans="1:16" ht="15.5">
      <c r="H314" s="71" t="s">
        <v>33</v>
      </c>
      <c r="K314" s="324" t="e">
        <f>K306-K309-K312</f>
        <v>#N/A</v>
      </c>
      <c r="L314" s="325"/>
    </row>
    <row r="315" spans="1:16" ht="16" thickBot="1">
      <c r="H315" s="72"/>
      <c r="I315" s="145"/>
      <c r="J315" s="73"/>
      <c r="K315" s="305">
        <f>1-H310</f>
        <v>0.7</v>
      </c>
      <c r="L315" s="306"/>
      <c r="N315" s="162"/>
      <c r="O315" s="219"/>
    </row>
    <row r="316" spans="1:16" ht="15.5" thickTop="1" thickBot="1">
      <c r="L316" s="149"/>
      <c r="N316" s="219"/>
      <c r="O316" s="219"/>
      <c r="P316" s="162"/>
    </row>
    <row r="317" spans="1:16">
      <c r="A317" s="307" t="s">
        <v>28</v>
      </c>
      <c r="B317" s="308"/>
      <c r="C317" s="308"/>
      <c r="D317" s="308"/>
      <c r="E317" s="308"/>
      <c r="F317" s="308"/>
      <c r="G317" s="308"/>
      <c r="H317" s="308"/>
      <c r="I317" s="308"/>
      <c r="J317" s="308"/>
      <c r="K317" s="308"/>
      <c r="L317" s="309"/>
      <c r="N317" s="162"/>
      <c r="O317" s="220"/>
      <c r="P317" s="162"/>
    </row>
    <row r="318" spans="1:16" ht="15" customHeight="1">
      <c r="A318" s="310" t="e">
        <f>IF(#REF!="","",#REF!)</f>
        <v>#REF!</v>
      </c>
      <c r="B318" s="311"/>
      <c r="C318" s="311"/>
      <c r="D318" s="311"/>
      <c r="E318" s="311"/>
      <c r="F318" s="311"/>
      <c r="G318" s="311"/>
      <c r="H318" s="311" t="s">
        <v>81</v>
      </c>
      <c r="I318" s="311"/>
      <c r="J318" s="311"/>
      <c r="K318" s="311"/>
      <c r="L318" s="312"/>
      <c r="N318" s="162"/>
      <c r="O318" s="162"/>
      <c r="P318" s="162"/>
    </row>
    <row r="319" spans="1:16">
      <c r="A319" s="310"/>
      <c r="B319" s="311"/>
      <c r="C319" s="311"/>
      <c r="D319" s="311"/>
      <c r="E319" s="311"/>
      <c r="F319" s="311"/>
      <c r="G319" s="311"/>
      <c r="H319" s="311"/>
      <c r="I319" s="311"/>
      <c r="J319" s="311"/>
      <c r="K319" s="311"/>
      <c r="L319" s="312"/>
      <c r="N319" s="162"/>
      <c r="O319" s="162"/>
      <c r="P319" s="162"/>
    </row>
    <row r="320" spans="1:16">
      <c r="A320" s="310"/>
      <c r="B320" s="311"/>
      <c r="C320" s="311"/>
      <c r="D320" s="311"/>
      <c r="E320" s="311"/>
      <c r="F320" s="311"/>
      <c r="G320" s="311"/>
      <c r="H320" s="311"/>
      <c r="I320" s="311"/>
      <c r="J320" s="311"/>
      <c r="K320" s="311"/>
      <c r="L320" s="312"/>
      <c r="N320" s="162"/>
      <c r="O320" s="162"/>
      <c r="P320" s="162"/>
    </row>
    <row r="321" spans="1:16">
      <c r="A321" s="310"/>
      <c r="B321" s="311"/>
      <c r="C321" s="311"/>
      <c r="D321" s="311"/>
      <c r="E321" s="311"/>
      <c r="F321" s="311"/>
      <c r="G321" s="311"/>
      <c r="H321" s="311"/>
      <c r="I321" s="311"/>
      <c r="J321" s="311"/>
      <c r="K321" s="311"/>
      <c r="L321" s="312"/>
      <c r="N321" s="162"/>
      <c r="O321" s="162"/>
      <c r="P321" s="162"/>
    </row>
    <row r="322" spans="1:16" ht="15" customHeight="1">
      <c r="A322" s="315" t="s">
        <v>82</v>
      </c>
      <c r="B322" s="316"/>
      <c r="C322" s="316"/>
      <c r="D322" s="316"/>
      <c r="E322" s="316"/>
      <c r="F322" s="316"/>
      <c r="G322" s="316"/>
      <c r="H322" s="311"/>
      <c r="I322" s="311"/>
      <c r="J322" s="311"/>
      <c r="K322" s="311"/>
      <c r="L322" s="312"/>
      <c r="N322" s="162"/>
      <c r="O322" s="162"/>
      <c r="P322" s="162"/>
    </row>
    <row r="323" spans="1:16">
      <c r="A323" s="317"/>
      <c r="B323" s="316"/>
      <c r="C323" s="316"/>
      <c r="D323" s="316"/>
      <c r="E323" s="316"/>
      <c r="F323" s="316"/>
      <c r="G323" s="316"/>
      <c r="H323" s="311"/>
      <c r="I323" s="311"/>
      <c r="J323" s="311"/>
      <c r="K323" s="311"/>
      <c r="L323" s="312"/>
      <c r="N323" s="162"/>
      <c r="O323" s="162"/>
      <c r="P323" s="162"/>
    </row>
    <row r="324" spans="1:16">
      <c r="A324" s="317"/>
      <c r="B324" s="316"/>
      <c r="C324" s="316"/>
      <c r="D324" s="316"/>
      <c r="E324" s="316"/>
      <c r="F324" s="316"/>
      <c r="G324" s="316"/>
      <c r="H324" s="311"/>
      <c r="I324" s="311"/>
      <c r="J324" s="311"/>
      <c r="K324" s="311"/>
      <c r="L324" s="312"/>
      <c r="P324" s="162"/>
    </row>
    <row r="325" spans="1:16" ht="15" thickBot="1">
      <c r="A325" s="318"/>
      <c r="B325" s="319"/>
      <c r="C325" s="319"/>
      <c r="D325" s="319"/>
      <c r="E325" s="319"/>
      <c r="F325" s="319"/>
      <c r="G325" s="319"/>
      <c r="H325" s="313"/>
      <c r="I325" s="313"/>
      <c r="J325" s="313"/>
      <c r="K325" s="313"/>
      <c r="L325" s="314"/>
    </row>
  </sheetData>
  <mergeCells count="211">
    <mergeCell ref="K295:L295"/>
    <mergeCell ref="K296:L296"/>
    <mergeCell ref="K278:L278"/>
    <mergeCell ref="K279:L279"/>
    <mergeCell ref="A282:L282"/>
    <mergeCell ref="K291:L291"/>
    <mergeCell ref="C292:C294"/>
    <mergeCell ref="D292:D294"/>
    <mergeCell ref="E292:E294"/>
    <mergeCell ref="K292:L292"/>
    <mergeCell ref="K293:L293"/>
    <mergeCell ref="K294:L294"/>
    <mergeCell ref="K261:L261"/>
    <mergeCell ref="K262:L262"/>
    <mergeCell ref="A264:L264"/>
    <mergeCell ref="A265:L265"/>
    <mergeCell ref="K274:L274"/>
    <mergeCell ref="C275:C277"/>
    <mergeCell ref="D275:D277"/>
    <mergeCell ref="E275:E277"/>
    <mergeCell ref="K275:L275"/>
    <mergeCell ref="K276:L276"/>
    <mergeCell ref="K277:L277"/>
    <mergeCell ref="K244:L244"/>
    <mergeCell ref="K245:L245"/>
    <mergeCell ref="A248:L248"/>
    <mergeCell ref="K257:L257"/>
    <mergeCell ref="C258:C260"/>
    <mergeCell ref="D258:D260"/>
    <mergeCell ref="E258:E260"/>
    <mergeCell ref="K258:L258"/>
    <mergeCell ref="K259:L259"/>
    <mergeCell ref="K260:L260"/>
    <mergeCell ref="K226:L226"/>
    <mergeCell ref="K227:L227"/>
    <mergeCell ref="A230:L230"/>
    <mergeCell ref="A231:L231"/>
    <mergeCell ref="K240:L240"/>
    <mergeCell ref="C241:C243"/>
    <mergeCell ref="D241:D243"/>
    <mergeCell ref="E241:E243"/>
    <mergeCell ref="K241:L241"/>
    <mergeCell ref="K242:L242"/>
    <mergeCell ref="K243:L243"/>
    <mergeCell ref="A195:L195"/>
    <mergeCell ref="K205:L205"/>
    <mergeCell ref="C206:C208"/>
    <mergeCell ref="D206:D208"/>
    <mergeCell ref="E206:E208"/>
    <mergeCell ref="A213:L213"/>
    <mergeCell ref="K222:L222"/>
    <mergeCell ref="C223:C225"/>
    <mergeCell ref="D223:D225"/>
    <mergeCell ref="E223:E225"/>
    <mergeCell ref="K223:L223"/>
    <mergeCell ref="K224:L224"/>
    <mergeCell ref="K225:L225"/>
    <mergeCell ref="K206:L206"/>
    <mergeCell ref="K207:L207"/>
    <mergeCell ref="K208:L208"/>
    <mergeCell ref="K209:L209"/>
    <mergeCell ref="K210:L210"/>
    <mergeCell ref="A56:L56"/>
    <mergeCell ref="K65:L65"/>
    <mergeCell ref="C66:C68"/>
    <mergeCell ref="D66:D68"/>
    <mergeCell ref="E66:E68"/>
    <mergeCell ref="K66:L66"/>
    <mergeCell ref="K115:L115"/>
    <mergeCell ref="A74:L74"/>
    <mergeCell ref="K83:L83"/>
    <mergeCell ref="C84:C86"/>
    <mergeCell ref="D84:D86"/>
    <mergeCell ref="E84:E86"/>
    <mergeCell ref="K84:L84"/>
    <mergeCell ref="K85:L85"/>
    <mergeCell ref="K86:L86"/>
    <mergeCell ref="K87:L87"/>
    <mergeCell ref="K315:L315"/>
    <mergeCell ref="A317:L317"/>
    <mergeCell ref="A318:G321"/>
    <mergeCell ref="H318:L325"/>
    <mergeCell ref="A322:G325"/>
    <mergeCell ref="K307:L307"/>
    <mergeCell ref="E308:F308"/>
    <mergeCell ref="A1:L9"/>
    <mergeCell ref="K314:L314"/>
    <mergeCell ref="K309:L309"/>
    <mergeCell ref="K119:L119"/>
    <mergeCell ref="K120:L120"/>
    <mergeCell ref="A173:L173"/>
    <mergeCell ref="H179:H181"/>
    <mergeCell ref="I179:I181"/>
    <mergeCell ref="A300:L300"/>
    <mergeCell ref="B304:C304"/>
    <mergeCell ref="K52:L52"/>
    <mergeCell ref="K53:L53"/>
    <mergeCell ref="A106:L106"/>
    <mergeCell ref="K117:L117"/>
    <mergeCell ref="K118:L118"/>
    <mergeCell ref="K306:L306"/>
    <mergeCell ref="A38:L38"/>
    <mergeCell ref="D116:D118"/>
    <mergeCell ref="E116:E118"/>
    <mergeCell ref="K116:L116"/>
    <mergeCell ref="E302:F302"/>
    <mergeCell ref="K153:L153"/>
    <mergeCell ref="A139:L139"/>
    <mergeCell ref="K148:L148"/>
    <mergeCell ref="C149:C151"/>
    <mergeCell ref="C116:C118"/>
    <mergeCell ref="C132:C134"/>
    <mergeCell ref="D132:D134"/>
    <mergeCell ref="E132:E134"/>
    <mergeCell ref="K132:L132"/>
    <mergeCell ref="K133:L133"/>
    <mergeCell ref="K134:L134"/>
    <mergeCell ref="K131:L131"/>
    <mergeCell ref="D165:D167"/>
    <mergeCell ref="E165:E167"/>
    <mergeCell ref="K165:L165"/>
    <mergeCell ref="K166:L166"/>
    <mergeCell ref="K167:L167"/>
    <mergeCell ref="A184:L184"/>
    <mergeCell ref="A155:L155"/>
    <mergeCell ref="A196:L196"/>
    <mergeCell ref="E36:F36"/>
    <mergeCell ref="G36:H36"/>
    <mergeCell ref="I36:J36"/>
    <mergeCell ref="K36:L36"/>
    <mergeCell ref="A39:L39"/>
    <mergeCell ref="K48:L48"/>
    <mergeCell ref="C49:C51"/>
    <mergeCell ref="D49:D51"/>
    <mergeCell ref="E49:E51"/>
    <mergeCell ref="K49:L49"/>
    <mergeCell ref="K50:L50"/>
    <mergeCell ref="K51:L51"/>
    <mergeCell ref="K28:L28"/>
    <mergeCell ref="B31:C31"/>
    <mergeCell ref="D31:E31"/>
    <mergeCell ref="G31:H31"/>
    <mergeCell ref="K31:L31"/>
    <mergeCell ref="B32:C32"/>
    <mergeCell ref="D32:E32"/>
    <mergeCell ref="G32:H32"/>
    <mergeCell ref="K32:L32"/>
    <mergeCell ref="B28:C28"/>
    <mergeCell ref="D28:E28"/>
    <mergeCell ref="F28:G28"/>
    <mergeCell ref="H28:I28"/>
    <mergeCell ref="I32:J32"/>
    <mergeCell ref="A20:L20"/>
    <mergeCell ref="A23:L23"/>
    <mergeCell ref="B26:C26"/>
    <mergeCell ref="D26:E26"/>
    <mergeCell ref="F26:G26"/>
    <mergeCell ref="H26:I26"/>
    <mergeCell ref="K26:L26"/>
    <mergeCell ref="B27:C27"/>
    <mergeCell ref="D27:E27"/>
    <mergeCell ref="F27:G27"/>
    <mergeCell ref="H27:I27"/>
    <mergeCell ref="K312:L312"/>
    <mergeCell ref="A89:L89"/>
    <mergeCell ref="K98:L98"/>
    <mergeCell ref="C99:C101"/>
    <mergeCell ref="D99:D101"/>
    <mergeCell ref="E99:E101"/>
    <mergeCell ref="K99:L99"/>
    <mergeCell ref="K100:L100"/>
    <mergeCell ref="K101:L101"/>
    <mergeCell ref="K169:L169"/>
    <mergeCell ref="K149:L149"/>
    <mergeCell ref="K150:L150"/>
    <mergeCell ref="K151:L151"/>
    <mergeCell ref="K102:L102"/>
    <mergeCell ref="K135:L135"/>
    <mergeCell ref="K136:L136"/>
    <mergeCell ref="K164:L164"/>
    <mergeCell ref="C165:C167"/>
    <mergeCell ref="D149:D151"/>
    <mergeCell ref="E149:E151"/>
    <mergeCell ref="A122:L122"/>
    <mergeCell ref="A105:L105"/>
    <mergeCell ref="A138:L138"/>
    <mergeCell ref="K168:L168"/>
    <mergeCell ref="N306:O306"/>
    <mergeCell ref="H190:H192"/>
    <mergeCell ref="I190:I192"/>
    <mergeCell ref="A172:L172"/>
    <mergeCell ref="H301:L301"/>
    <mergeCell ref="K302:L302"/>
    <mergeCell ref="K304:L304"/>
    <mergeCell ref="I33:J33"/>
    <mergeCell ref="K152:L152"/>
    <mergeCell ref="K67:L67"/>
    <mergeCell ref="K68:L68"/>
    <mergeCell ref="K69:L69"/>
    <mergeCell ref="K70:L70"/>
    <mergeCell ref="A73:L73"/>
    <mergeCell ref="K33:L33"/>
    <mergeCell ref="B33:C33"/>
    <mergeCell ref="D33:E33"/>
    <mergeCell ref="G33:H33"/>
    <mergeCell ref="C35:D35"/>
    <mergeCell ref="E35:F35"/>
    <mergeCell ref="G35:H35"/>
    <mergeCell ref="I35:J35"/>
    <mergeCell ref="K35:L35"/>
    <mergeCell ref="C36:D36"/>
  </mergeCells>
  <conditionalFormatting sqref="A50:B51 A53:B55 A85:B88 A100:B104 A107:B118">
    <cfRule type="expression" dxfId="103" priority="154">
      <formula>MOD(ROW(),2)=0</formula>
    </cfRule>
  </conditionalFormatting>
  <conditionalFormatting sqref="A67:B72">
    <cfRule type="expression" dxfId="102" priority="99">
      <formula>MOD(ROW(),2)=0</formula>
    </cfRule>
  </conditionalFormatting>
  <conditionalFormatting sqref="A123:B134">
    <cfRule type="expression" dxfId="101" priority="88">
      <formula>MOD(ROW(),2)=0</formula>
    </cfRule>
  </conditionalFormatting>
  <conditionalFormatting sqref="A150:B153">
    <cfRule type="expression" dxfId="100" priority="145">
      <formula>MOD(ROW(),2)=0</formula>
    </cfRule>
  </conditionalFormatting>
  <conditionalFormatting sqref="A166:B169">
    <cfRule type="expression" dxfId="99" priority="72">
      <formula>MOD(ROW(),2)=0</formula>
    </cfRule>
  </conditionalFormatting>
  <conditionalFormatting sqref="A207:B212">
    <cfRule type="expression" dxfId="98" priority="51">
      <formula>MOD(ROW(),2)=0</formula>
    </cfRule>
  </conditionalFormatting>
  <conditionalFormatting sqref="A224:B227">
    <cfRule type="expression" dxfId="97" priority="50">
      <formula>MOD(ROW(),2)=0</formula>
    </cfRule>
  </conditionalFormatting>
  <conditionalFormatting sqref="A242:B247">
    <cfRule type="expression" dxfId="96" priority="35">
      <formula>MOD(ROW(),2)=0</formula>
    </cfRule>
  </conditionalFormatting>
  <conditionalFormatting sqref="A259:B262">
    <cfRule type="expression" dxfId="95" priority="34">
      <formula>MOD(ROW(),2)=0</formula>
    </cfRule>
  </conditionalFormatting>
  <conditionalFormatting sqref="A276:B281">
    <cfRule type="expression" dxfId="94" priority="16">
      <formula>MOD(ROW(),2)=0</formula>
    </cfRule>
  </conditionalFormatting>
  <conditionalFormatting sqref="A293:B296">
    <cfRule type="expression" dxfId="93" priority="15">
      <formula>MOD(ROW(),2)=0</formula>
    </cfRule>
  </conditionalFormatting>
  <conditionalFormatting sqref="A180:G181">
    <cfRule type="expression" dxfId="92" priority="63">
      <formula>MOD(ROW(),2)=0</formula>
    </cfRule>
  </conditionalFormatting>
  <conditionalFormatting sqref="A49:H49 K49:L49 F50:H50 K50 F51:K51">
    <cfRule type="expression" dxfId="91" priority="164">
      <formula>MOD(ROW(),2)=0</formula>
    </cfRule>
  </conditionalFormatting>
  <conditionalFormatting sqref="A66:H66 F67:H67 K67 F68:K68">
    <cfRule type="expression" dxfId="90" priority="130">
      <formula>MOD(ROW(),2)=0</formula>
    </cfRule>
  </conditionalFormatting>
  <conditionalFormatting sqref="A84:H84 K84:L84 F85:H85 F86:J86">
    <cfRule type="expression" dxfId="89" priority="142">
      <formula>MOD(ROW(),2)=0</formula>
    </cfRule>
  </conditionalFormatting>
  <conditionalFormatting sqref="A99:H99 K99:L99 F100:H100 F101:J101">
    <cfRule type="expression" dxfId="88" priority="115">
      <formula>MOD(ROW(),2)=0</formula>
    </cfRule>
  </conditionalFormatting>
  <conditionalFormatting sqref="A116:H116 K116:L116 F117:H117">
    <cfRule type="expression" dxfId="87" priority="160">
      <formula>MOD(ROW(),2)=0</formula>
    </cfRule>
  </conditionalFormatting>
  <conditionalFormatting sqref="A132:H132 K132:L132 F133:H133">
    <cfRule type="expression" dxfId="86" priority="91">
      <formula>MOD(ROW(),2)=0</formula>
    </cfRule>
  </conditionalFormatting>
  <conditionalFormatting sqref="A149:H149 K149:L149 F150:H150 F151:K151">
    <cfRule type="expression" dxfId="85" priority="147">
      <formula>MOD(ROW(),2)=0</formula>
    </cfRule>
  </conditionalFormatting>
  <conditionalFormatting sqref="A165:H165 K165:L165 F166:H166 F167:K167">
    <cfRule type="expression" dxfId="84" priority="74">
      <formula>MOD(ROW(),2)=0</formula>
    </cfRule>
  </conditionalFormatting>
  <conditionalFormatting sqref="A206:H206 K206:L206 F207:H207 K207 F208:K208">
    <cfRule type="expression" dxfId="83" priority="59">
      <formula>MOD(ROW(),2)=0</formula>
    </cfRule>
  </conditionalFormatting>
  <conditionalFormatting sqref="A223:H223 F224:H224 K224 F225:K225">
    <cfRule type="expression" dxfId="82" priority="55">
      <formula>MOD(ROW(),2)=0</formula>
    </cfRule>
  </conditionalFormatting>
  <conditionalFormatting sqref="A241:H241 K241:L241 F242:H242 K242 F243:K243">
    <cfRule type="expression" dxfId="81" priority="43">
      <formula>MOD(ROW(),2)=0</formula>
    </cfRule>
  </conditionalFormatting>
  <conditionalFormatting sqref="A258:H258 F259:H259 K259 F260:K260">
    <cfRule type="expression" dxfId="80" priority="39">
      <formula>MOD(ROW(),2)=0</formula>
    </cfRule>
  </conditionalFormatting>
  <conditionalFormatting sqref="A275:H275 K275:L275 F276:H276 K276 F277:K277">
    <cfRule type="expression" dxfId="79" priority="24">
      <formula>MOD(ROW(),2)=0</formula>
    </cfRule>
  </conditionalFormatting>
  <conditionalFormatting sqref="A292:H292 F293:H293 K293 F294:K294">
    <cfRule type="expression" dxfId="78" priority="20">
      <formula>MOD(ROW(),2)=0</formula>
    </cfRule>
  </conditionalFormatting>
  <conditionalFormatting sqref="A179:I179 J179:J181">
    <cfRule type="expression" dxfId="77" priority="155">
      <formula>MOD(ROW(),2)=0</formula>
    </cfRule>
  </conditionalFormatting>
  <conditionalFormatting sqref="A190:I190 J190:J192 A191:G192">
    <cfRule type="expression" dxfId="76" priority="67">
      <formula>MOD(ROW(),2)=0</formula>
    </cfRule>
  </conditionalFormatting>
  <conditionalFormatting sqref="A42:J44">
    <cfRule type="expression" dxfId="75" priority="152">
      <formula>MOD(ROW(),2)=0</formula>
    </cfRule>
  </conditionalFormatting>
  <conditionalFormatting sqref="A59:J61">
    <cfRule type="expression" dxfId="74" priority="122">
      <formula>MOD(ROW(),2)=0</formula>
    </cfRule>
  </conditionalFormatting>
  <conditionalFormatting sqref="A77:J79">
    <cfRule type="expression" dxfId="73" priority="118">
      <formula>MOD(ROW(),2)=0</formula>
    </cfRule>
  </conditionalFormatting>
  <conditionalFormatting sqref="A92:J94">
    <cfRule type="expression" dxfId="72" priority="107">
      <formula>MOD(ROW(),2)=0</formula>
    </cfRule>
  </conditionalFormatting>
  <conditionalFormatting sqref="A110:J111">
    <cfRule type="expression" dxfId="71" priority="96">
      <formula>MOD(ROW(),2)=0</formula>
    </cfRule>
  </conditionalFormatting>
  <conditionalFormatting sqref="A126:J127">
    <cfRule type="expression" dxfId="70" priority="83">
      <formula>MOD(ROW(),2)=0</formula>
    </cfRule>
  </conditionalFormatting>
  <conditionalFormatting sqref="A142:J144">
    <cfRule type="expression" dxfId="69" priority="77">
      <formula>MOD(ROW(),2)=0</formula>
    </cfRule>
  </conditionalFormatting>
  <conditionalFormatting sqref="A158:J160">
    <cfRule type="expression" dxfId="68" priority="69">
      <formula>MOD(ROW(),2)=0</formula>
    </cfRule>
  </conditionalFormatting>
  <conditionalFormatting sqref="A176:J178">
    <cfRule type="expression" dxfId="67" priority="64">
      <formula>MOD(ROW(),2)=0</formula>
    </cfRule>
  </conditionalFormatting>
  <conditionalFormatting sqref="A187:J189">
    <cfRule type="expression" dxfId="66" priority="66">
      <formula>MOD(ROW(),2)=0</formula>
    </cfRule>
  </conditionalFormatting>
  <conditionalFormatting sqref="A199:J201">
    <cfRule type="expression" dxfId="65" priority="1">
      <formula>MOD(ROW(),2)=0</formula>
    </cfRule>
  </conditionalFormatting>
  <conditionalFormatting sqref="A216:J218">
    <cfRule type="expression" dxfId="64" priority="53">
      <formula>MOD(ROW(),2)=0</formula>
    </cfRule>
  </conditionalFormatting>
  <conditionalFormatting sqref="A234:J236">
    <cfRule type="expression" dxfId="63" priority="29">
      <formula>MOD(ROW(),2)=0</formula>
    </cfRule>
  </conditionalFormatting>
  <conditionalFormatting sqref="A251:J253">
    <cfRule type="expression" dxfId="62" priority="25">
      <formula>MOD(ROW(),2)=0</formula>
    </cfRule>
  </conditionalFormatting>
  <conditionalFormatting sqref="A268:J270">
    <cfRule type="expression" dxfId="61" priority="10">
      <formula>MOD(ROW(),2)=0</formula>
    </cfRule>
  </conditionalFormatting>
  <conditionalFormatting sqref="A285:J287">
    <cfRule type="expression" dxfId="60" priority="18">
      <formula>MOD(ROW(),2)=0</formula>
    </cfRule>
  </conditionalFormatting>
  <conditionalFormatting sqref="A52:L52">
    <cfRule type="expression" dxfId="59" priority="105">
      <formula>MOD(ROW(),2)=0</formula>
    </cfRule>
  </conditionalFormatting>
  <conditionalFormatting sqref="A119:L119">
    <cfRule type="expression" dxfId="58" priority="93">
      <formula>MOD(ROW(),2)=0</formula>
    </cfRule>
  </conditionalFormatting>
  <conditionalFormatting sqref="A135:L135">
    <cfRule type="expression" dxfId="57" priority="80">
      <formula>MOD(ROW(),2)=0</formula>
    </cfRule>
  </conditionalFormatting>
  <conditionalFormatting sqref="A152:L152">
    <cfRule type="expression" dxfId="56" priority="148">
      <formula>MOD(ROW(),2)=0</formula>
    </cfRule>
  </conditionalFormatting>
  <conditionalFormatting sqref="A168:L168">
    <cfRule type="expression" dxfId="55" priority="75">
      <formula>MOD(ROW(),2)=0</formula>
    </cfRule>
  </conditionalFormatting>
  <conditionalFormatting sqref="C69">
    <cfRule type="expression" dxfId="54" priority="62">
      <formula>ISODD(YEAR($A69))=TRUE</formula>
    </cfRule>
    <cfRule type="expression" dxfId="53" priority="61">
      <formula>ISEVEN(YEAR($A69))=TRUE</formula>
    </cfRule>
  </conditionalFormatting>
  <conditionalFormatting sqref="C226">
    <cfRule type="expression" dxfId="52" priority="48">
      <formula>ISEVEN(YEAR($A226))=TRUE</formula>
    </cfRule>
    <cfRule type="expression" dxfId="51" priority="49">
      <formula>ISODD(YEAR($A226))=TRUE</formula>
    </cfRule>
  </conditionalFormatting>
  <conditionalFormatting sqref="C261">
    <cfRule type="expression" dxfId="50" priority="33">
      <formula>ISODD(YEAR($A261))=TRUE</formula>
    </cfRule>
    <cfRule type="expression" dxfId="49" priority="32">
      <formula>ISEVEN(YEAR($A261))=TRUE</formula>
    </cfRule>
  </conditionalFormatting>
  <conditionalFormatting sqref="C295">
    <cfRule type="expression" dxfId="48" priority="13">
      <formula>ISEVEN(YEAR($A295))=TRUE</formula>
    </cfRule>
    <cfRule type="expression" dxfId="47" priority="14">
      <formula>ISODD(YEAR($A295))=TRUE</formula>
    </cfRule>
  </conditionalFormatting>
  <conditionalFormatting sqref="C109:J109">
    <cfRule type="expression" dxfId="46" priority="132">
      <formula>MOD(ROW(),2)=0</formula>
    </cfRule>
  </conditionalFormatting>
  <conditionalFormatting sqref="C125:J125">
    <cfRule type="expression" dxfId="45" priority="79">
      <formula>MOD(ROW(),2)=0</formula>
    </cfRule>
  </conditionalFormatting>
  <conditionalFormatting sqref="C209:L209">
    <cfRule type="expression" dxfId="44" priority="44">
      <formula>MOD(ROW(),2)=0</formula>
    </cfRule>
  </conditionalFormatting>
  <conditionalFormatting sqref="C244:L244">
    <cfRule type="expression" dxfId="43" priority="28">
      <formula>MOD(ROW(),2)=0</formula>
    </cfRule>
  </conditionalFormatting>
  <conditionalFormatting sqref="C278:L278">
    <cfRule type="expression" dxfId="42" priority="4">
      <formula>MOD(ROW(),2)=0</formula>
    </cfRule>
  </conditionalFormatting>
  <conditionalFormatting sqref="D69:L69">
    <cfRule type="expression" dxfId="41" priority="60">
      <formula>MOD(ROW(),2)=0</formula>
    </cfRule>
  </conditionalFormatting>
  <conditionalFormatting sqref="D226:L226">
    <cfRule type="expression" dxfId="40" priority="7">
      <formula>MOD(ROW(),2)=0</formula>
    </cfRule>
  </conditionalFormatting>
  <conditionalFormatting sqref="D261:L261">
    <cfRule type="expression" dxfId="39" priority="31">
      <formula>MOD(ROW(),2)=0</formula>
    </cfRule>
  </conditionalFormatting>
  <conditionalFormatting sqref="D295:L295">
    <cfRule type="expression" dxfId="38" priority="2">
      <formula>MOD(ROW(),2)=0</formula>
    </cfRule>
  </conditionalFormatting>
  <conditionalFormatting sqref="F118:J118">
    <cfRule type="expression" dxfId="37" priority="156">
      <formula>MOD(ROW(),2)=0</formula>
    </cfRule>
  </conditionalFormatting>
  <conditionalFormatting sqref="F134:J134">
    <cfRule type="expression" dxfId="36" priority="89">
      <formula>MOD(ROW(),2)=0</formula>
    </cfRule>
  </conditionalFormatting>
  <conditionalFormatting sqref="I49:J50">
    <cfRule type="expression" dxfId="35" priority="162">
      <formula>MOD(ROW(),2)=0</formula>
    </cfRule>
  </conditionalFormatting>
  <conditionalFormatting sqref="I66:J67">
    <cfRule type="expression" dxfId="34" priority="129">
      <formula>MOD(ROW(),2)=0</formula>
    </cfRule>
  </conditionalFormatting>
  <conditionalFormatting sqref="I84:J85">
    <cfRule type="expression" dxfId="33" priority="141">
      <formula>MOD(ROW(),2)=0</formula>
    </cfRule>
  </conditionalFormatting>
  <conditionalFormatting sqref="I99:J100">
    <cfRule type="expression" dxfId="32" priority="114">
      <formula>MOD(ROW(),2)=0</formula>
    </cfRule>
  </conditionalFormatting>
  <conditionalFormatting sqref="I116:J117">
    <cfRule type="expression" dxfId="31" priority="158">
      <formula>MOD(ROW(),2)=0</formula>
    </cfRule>
  </conditionalFormatting>
  <conditionalFormatting sqref="I132:J133">
    <cfRule type="expression" dxfId="30" priority="90">
      <formula>MOD(ROW(),2)=0</formula>
    </cfRule>
  </conditionalFormatting>
  <conditionalFormatting sqref="I149:J150">
    <cfRule type="expression" dxfId="29" priority="146">
      <formula>MOD(ROW(),2)=0</formula>
    </cfRule>
  </conditionalFormatting>
  <conditionalFormatting sqref="I165:J166">
    <cfRule type="expression" dxfId="28" priority="73">
      <formula>MOD(ROW(),2)=0</formula>
    </cfRule>
  </conditionalFormatting>
  <conditionalFormatting sqref="I206:J207">
    <cfRule type="expression" dxfId="27" priority="58">
      <formula>MOD(ROW(),2)=0</formula>
    </cfRule>
  </conditionalFormatting>
  <conditionalFormatting sqref="I223:J224">
    <cfRule type="expression" dxfId="26" priority="54">
      <formula>MOD(ROW(),2)=0</formula>
    </cfRule>
  </conditionalFormatting>
  <conditionalFormatting sqref="I241:J242">
    <cfRule type="expression" dxfId="25" priority="42">
      <formula>MOD(ROW(),2)=0</formula>
    </cfRule>
  </conditionalFormatting>
  <conditionalFormatting sqref="I258:J259">
    <cfRule type="expression" dxfId="24" priority="38">
      <formula>MOD(ROW(),2)=0</formula>
    </cfRule>
  </conditionalFormatting>
  <conditionalFormatting sqref="I275:J276">
    <cfRule type="expression" dxfId="23" priority="23">
      <formula>MOD(ROW(),2)=0</formula>
    </cfRule>
  </conditionalFormatting>
  <conditionalFormatting sqref="I292:J293">
    <cfRule type="expression" dxfId="22" priority="19">
      <formula>MOD(ROW(),2)=0</formula>
    </cfRule>
  </conditionalFormatting>
  <conditionalFormatting sqref="K28">
    <cfRule type="cellIs" dxfId="21" priority="168" operator="equal">
      <formula>"OC "&amp;$B$15</formula>
    </cfRule>
    <cfRule type="cellIs" dxfId="20" priority="167" operator="notEqual">
      <formula>"OC "&amp;$B$15</formula>
    </cfRule>
  </conditionalFormatting>
  <conditionalFormatting sqref="K85:K86">
    <cfRule type="expression" dxfId="19" priority="116">
      <formula>MOD(ROW(),2)=0</formula>
    </cfRule>
  </conditionalFormatting>
  <conditionalFormatting sqref="K100:K101">
    <cfRule type="expression" dxfId="18" priority="108">
      <formula>MOD(ROW(),2)=0</formula>
    </cfRule>
  </conditionalFormatting>
  <conditionalFormatting sqref="K117:K118">
    <cfRule type="expression" dxfId="17" priority="94">
      <formula>MOD(ROW(),2)=0</formula>
    </cfRule>
  </conditionalFormatting>
  <conditionalFormatting sqref="K133:K134">
    <cfRule type="expression" dxfId="16" priority="81">
      <formula>MOD(ROW(),2)=0</formula>
    </cfRule>
  </conditionalFormatting>
  <conditionalFormatting sqref="K150">
    <cfRule type="expression" dxfId="15" priority="76">
      <formula>MOD(ROW(),2)=0</formula>
    </cfRule>
  </conditionalFormatting>
  <conditionalFormatting sqref="K166">
    <cfRule type="expression" dxfId="14" priority="68">
      <formula>MOD(ROW(),2)=0</formula>
    </cfRule>
  </conditionalFormatting>
  <conditionalFormatting sqref="K66:L66">
    <cfRule type="expression" dxfId="13" priority="121">
      <formula>MOD(ROW(),2)=0</formula>
    </cfRule>
  </conditionalFormatting>
  <conditionalFormatting sqref="K223:L223">
    <cfRule type="expression" dxfId="12" priority="52">
      <formula>MOD(ROW(),2)=0</formula>
    </cfRule>
  </conditionalFormatting>
  <conditionalFormatting sqref="K258:L258">
    <cfRule type="expression" dxfId="11" priority="36">
      <formula>MOD(ROW(),2)=0</formula>
    </cfRule>
  </conditionalFormatting>
  <conditionalFormatting sqref="K292:L292">
    <cfRule type="expression" dxfId="10" priority="17">
      <formula>MOD(ROW(),2)=0</formula>
    </cfRule>
  </conditionalFormatting>
  <dataValidations disablePrompts="1" count="3">
    <dataValidation type="list" allowBlank="1" showInputMessage="1" showErrorMessage="1" sqref="L40 L185 L163 L156 L123 L130 L97 L90 L64 L57 L82 L75 L147 L140 L47 L107 L114 L174 L197 L221 L214 L204 L232 L256 L249 L239 L266 L290 L283 L273" xr:uid="{D9F2043E-E4F1-47D9-8019-7DB5AE886AE5}">
      <formula1>$N$17:$N$18</formula1>
    </dataValidation>
    <dataValidation type="list" allowBlank="1" showInputMessage="1" showErrorMessage="1" sqref="J310" xr:uid="{8230FDF9-62AA-47AB-9CC6-BBEF3D831ADF}">
      <formula1>$N$21:$N$22</formula1>
    </dataValidation>
    <dataValidation type="list" allowBlank="1" showInputMessage="1" showErrorMessage="1" sqref="B12" xr:uid="{0F4CA595-9FF6-4C30-A0BD-343F21ADD9B9}">
      <formula1>"TRF sem destaque, TRF com destaque, Federal-TJ, Estadual/Municipal"</formula1>
    </dataValidation>
  </dataValidations>
  <pageMargins left="0.23622047244094491" right="0.23622047244094491" top="0.74803149606299213" bottom="0.74803149606299213" header="0.31496062992125984" footer="0.31496062992125984"/>
  <pageSetup paperSize="9" scale="1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8F4B3-DC7A-4C31-A4BA-DC2C0C7C0A38}">
  <dimension ref="A1:AL746"/>
  <sheetViews>
    <sheetView showGridLines="0" workbookViewId="0">
      <pane ySplit="7" topLeftCell="A723" activePane="bottomLeft" state="frozen"/>
      <selection pane="bottomLeft" activeCell="B746" sqref="B746"/>
    </sheetView>
  </sheetViews>
  <sheetFormatPr defaultRowHeight="14.5"/>
  <cols>
    <col min="1" max="1" width="9.1796875" style="4"/>
    <col min="2" max="2" width="14.1796875" style="7" bestFit="1" customWidth="1"/>
    <col min="6" max="6" width="12.1796875" bestFit="1" customWidth="1"/>
  </cols>
  <sheetData>
    <row r="1" spans="1:38" ht="20">
      <c r="A1" s="2"/>
      <c r="B1"/>
      <c r="C1" s="15"/>
      <c r="G1" s="16" t="s">
        <v>83</v>
      </c>
    </row>
    <row r="2" spans="1:38" ht="15">
      <c r="A2" s="3" t="s">
        <v>84</v>
      </c>
      <c r="B2"/>
      <c r="C2" s="15"/>
      <c r="G2" s="5">
        <v>44681</v>
      </c>
    </row>
    <row r="3" spans="1:38" ht="1.5" customHeight="1">
      <c r="A3"/>
      <c r="B3"/>
      <c r="C3" s="15"/>
    </row>
    <row r="4" spans="1:38">
      <c r="A4" s="6" t="s">
        <v>85</v>
      </c>
    </row>
    <row r="5" spans="1:38" ht="15" customHeight="1">
      <c r="A5" s="6" t="s">
        <v>86</v>
      </c>
      <c r="I5" s="334" t="s">
        <v>87</v>
      </c>
      <c r="J5" s="334"/>
      <c r="K5" s="334"/>
      <c r="L5" s="334"/>
      <c r="M5" s="334"/>
      <c r="N5" s="334"/>
      <c r="O5" s="334"/>
      <c r="P5" s="334"/>
      <c r="Q5" s="334"/>
      <c r="R5" s="334"/>
      <c r="S5" s="334"/>
      <c r="T5" s="334"/>
      <c r="U5" s="334"/>
      <c r="V5" s="334"/>
      <c r="W5" s="334"/>
      <c r="X5" s="334"/>
      <c r="Y5" s="77"/>
      <c r="Z5" s="77"/>
      <c r="AA5" s="77"/>
      <c r="AB5" s="77"/>
      <c r="AC5" s="77"/>
      <c r="AD5" s="77"/>
      <c r="AE5" s="77"/>
      <c r="AF5" s="77"/>
      <c r="AG5" s="77"/>
      <c r="AH5" s="77"/>
      <c r="AI5" s="77"/>
      <c r="AJ5" s="77"/>
      <c r="AK5" s="77"/>
      <c r="AL5" s="77"/>
    </row>
    <row r="6" spans="1:38">
      <c r="A6" s="78" t="s">
        <v>88</v>
      </c>
      <c r="I6" s="335" t="s">
        <v>89</v>
      </c>
      <c r="J6" s="335"/>
      <c r="K6" s="335"/>
      <c r="L6" s="335"/>
      <c r="M6" s="335"/>
      <c r="N6" s="335"/>
      <c r="O6" s="335"/>
      <c r="P6" s="335"/>
      <c r="Q6" s="335"/>
      <c r="R6" s="335"/>
      <c r="S6" s="335"/>
      <c r="T6" s="335"/>
      <c r="U6" s="335"/>
      <c r="V6" s="335"/>
      <c r="W6" s="335"/>
      <c r="X6" s="335"/>
    </row>
    <row r="7" spans="1:38">
      <c r="A7" s="5" t="s">
        <v>90</v>
      </c>
      <c r="B7" s="8" t="s">
        <v>91</v>
      </c>
    </row>
    <row r="8" spans="1:38" ht="15" customHeight="1">
      <c r="A8" s="4">
        <v>23651</v>
      </c>
      <c r="B8" s="7">
        <v>10000</v>
      </c>
      <c r="I8" s="332" t="s">
        <v>92</v>
      </c>
      <c r="J8" s="333"/>
      <c r="K8" s="333"/>
      <c r="L8" s="333"/>
      <c r="M8" s="333"/>
      <c r="N8" s="333"/>
      <c r="O8" s="333"/>
      <c r="P8" s="333"/>
      <c r="Q8" s="333"/>
      <c r="R8" s="333"/>
      <c r="S8" s="333"/>
    </row>
    <row r="9" spans="1:38">
      <c r="A9" s="4">
        <v>23682</v>
      </c>
      <c r="B9" s="7">
        <v>10000</v>
      </c>
      <c r="I9" s="333"/>
      <c r="J9" s="333"/>
      <c r="K9" s="333"/>
      <c r="L9" s="333"/>
      <c r="M9" s="333"/>
      <c r="N9" s="333"/>
      <c r="O9" s="333"/>
      <c r="P9" s="333"/>
      <c r="Q9" s="333"/>
      <c r="R9" s="333"/>
      <c r="S9" s="333"/>
    </row>
    <row r="10" spans="1:38">
      <c r="A10" s="4">
        <v>23712</v>
      </c>
      <c r="B10" s="7">
        <v>10000</v>
      </c>
      <c r="I10" s="333"/>
      <c r="J10" s="333"/>
      <c r="K10" s="333"/>
      <c r="L10" s="333"/>
      <c r="M10" s="333"/>
      <c r="N10" s="333"/>
      <c r="O10" s="333"/>
      <c r="P10" s="333"/>
      <c r="Q10" s="333"/>
      <c r="R10" s="333"/>
      <c r="S10" s="333"/>
    </row>
    <row r="11" spans="1:38">
      <c r="A11" s="4">
        <v>23743</v>
      </c>
      <c r="B11" s="7">
        <v>11300</v>
      </c>
      <c r="I11" s="333"/>
      <c r="J11" s="333"/>
      <c r="K11" s="333"/>
      <c r="L11" s="333"/>
      <c r="M11" s="333"/>
      <c r="N11" s="333"/>
      <c r="O11" s="333"/>
      <c r="P11" s="333"/>
      <c r="Q11" s="333"/>
      <c r="R11" s="333"/>
      <c r="S11" s="333"/>
    </row>
    <row r="12" spans="1:38">
      <c r="A12" s="4">
        <v>23774</v>
      </c>
      <c r="B12" s="7">
        <v>11300</v>
      </c>
      <c r="I12" s="333"/>
      <c r="J12" s="333"/>
      <c r="K12" s="333"/>
      <c r="L12" s="333"/>
      <c r="M12" s="333"/>
      <c r="N12" s="333"/>
      <c r="O12" s="333"/>
      <c r="P12" s="333"/>
      <c r="Q12" s="333"/>
      <c r="R12" s="333"/>
      <c r="S12" s="333"/>
    </row>
    <row r="13" spans="1:38">
      <c r="A13" s="4">
        <v>23802</v>
      </c>
      <c r="B13" s="7">
        <v>11300</v>
      </c>
      <c r="I13" s="333"/>
      <c r="J13" s="333"/>
      <c r="K13" s="333"/>
      <c r="L13" s="333"/>
      <c r="M13" s="333"/>
      <c r="N13" s="333"/>
      <c r="O13" s="333"/>
      <c r="P13" s="333"/>
      <c r="Q13" s="333"/>
      <c r="R13" s="333"/>
      <c r="S13" s="333"/>
    </row>
    <row r="14" spans="1:38">
      <c r="A14" s="4">
        <v>23833</v>
      </c>
      <c r="B14" s="7">
        <v>13400</v>
      </c>
      <c r="I14" s="333"/>
      <c r="J14" s="333"/>
      <c r="K14" s="333"/>
      <c r="L14" s="333"/>
      <c r="M14" s="333"/>
      <c r="N14" s="333"/>
      <c r="O14" s="333"/>
      <c r="P14" s="333"/>
      <c r="Q14" s="333"/>
      <c r="R14" s="333"/>
      <c r="S14" s="333"/>
    </row>
    <row r="15" spans="1:38">
      <c r="A15" s="4">
        <v>23863</v>
      </c>
      <c r="B15" s="7">
        <v>13400</v>
      </c>
      <c r="I15" s="333"/>
      <c r="J15" s="333"/>
      <c r="K15" s="333"/>
      <c r="L15" s="333"/>
      <c r="M15" s="333"/>
      <c r="N15" s="333"/>
      <c r="O15" s="333"/>
      <c r="P15" s="333"/>
      <c r="Q15" s="333"/>
      <c r="R15" s="333"/>
      <c r="S15" s="333"/>
    </row>
    <row r="16" spans="1:38">
      <c r="A16" s="4">
        <v>23894</v>
      </c>
      <c r="B16" s="7">
        <v>13400</v>
      </c>
      <c r="I16" s="333"/>
      <c r="J16" s="333"/>
      <c r="K16" s="333"/>
      <c r="L16" s="333"/>
      <c r="M16" s="333"/>
      <c r="N16" s="333"/>
      <c r="O16" s="333"/>
      <c r="P16" s="333"/>
      <c r="Q16" s="333"/>
      <c r="R16" s="333"/>
      <c r="S16" s="333"/>
    </row>
    <row r="17" spans="1:19">
      <c r="A17" s="4">
        <v>23924</v>
      </c>
      <c r="B17" s="7">
        <v>15200</v>
      </c>
    </row>
    <row r="18" spans="1:19">
      <c r="A18" s="4">
        <v>23955</v>
      </c>
      <c r="B18" s="7">
        <v>15200</v>
      </c>
      <c r="I18" s="332" t="s">
        <v>93</v>
      </c>
      <c r="J18" s="333"/>
      <c r="K18" s="333"/>
      <c r="L18" s="333"/>
      <c r="M18" s="333"/>
      <c r="N18" s="333"/>
      <c r="O18" s="333"/>
      <c r="P18" s="333"/>
      <c r="Q18" s="333"/>
      <c r="R18" s="333"/>
      <c r="S18" s="333"/>
    </row>
    <row r="19" spans="1:19">
      <c r="A19" s="4">
        <v>23986</v>
      </c>
      <c r="B19" s="7">
        <v>15700</v>
      </c>
      <c r="I19" s="333"/>
      <c r="J19" s="333"/>
      <c r="K19" s="333"/>
      <c r="L19" s="333"/>
      <c r="M19" s="333"/>
      <c r="N19" s="333"/>
      <c r="O19" s="333"/>
      <c r="P19" s="333"/>
      <c r="Q19" s="333"/>
      <c r="R19" s="333"/>
      <c r="S19" s="333"/>
    </row>
    <row r="20" spans="1:19">
      <c r="A20" s="4">
        <v>24016</v>
      </c>
      <c r="B20" s="7">
        <v>15900</v>
      </c>
      <c r="I20" s="333"/>
      <c r="J20" s="333"/>
      <c r="K20" s="333"/>
      <c r="L20" s="333"/>
      <c r="M20" s="333"/>
      <c r="N20" s="333"/>
      <c r="O20" s="333"/>
      <c r="P20" s="333"/>
      <c r="Q20" s="333"/>
      <c r="R20" s="333"/>
      <c r="S20" s="333"/>
    </row>
    <row r="21" spans="1:19">
      <c r="A21" s="4">
        <v>24047</v>
      </c>
      <c r="B21" s="7">
        <v>16050</v>
      </c>
      <c r="I21" s="333"/>
      <c r="J21" s="333"/>
      <c r="K21" s="333"/>
      <c r="L21" s="333"/>
      <c r="M21" s="333"/>
      <c r="N21" s="333"/>
      <c r="O21" s="333"/>
      <c r="P21" s="333"/>
      <c r="Q21" s="333"/>
      <c r="R21" s="333"/>
      <c r="S21" s="333"/>
    </row>
    <row r="22" spans="1:19">
      <c r="A22" s="4">
        <v>24077</v>
      </c>
      <c r="B22" s="7">
        <v>16300</v>
      </c>
      <c r="I22" s="333"/>
      <c r="J22" s="333"/>
      <c r="K22" s="333"/>
      <c r="L22" s="333"/>
      <c r="M22" s="333"/>
      <c r="N22" s="333"/>
      <c r="O22" s="333"/>
      <c r="P22" s="333"/>
      <c r="Q22" s="333"/>
      <c r="R22" s="333"/>
      <c r="S22" s="333"/>
    </row>
    <row r="23" spans="1:19">
      <c r="A23" s="4">
        <v>24108</v>
      </c>
      <c r="B23" s="7">
        <v>16600</v>
      </c>
      <c r="I23" s="333"/>
      <c r="J23" s="333"/>
      <c r="K23" s="333"/>
      <c r="L23" s="333"/>
      <c r="M23" s="333"/>
      <c r="N23" s="333"/>
      <c r="O23" s="333"/>
      <c r="P23" s="333"/>
      <c r="Q23" s="333"/>
      <c r="R23" s="333"/>
      <c r="S23" s="333"/>
    </row>
    <row r="24" spans="1:19">
      <c r="A24" s="4">
        <v>24139</v>
      </c>
      <c r="B24" s="7">
        <v>17050</v>
      </c>
      <c r="I24" s="333"/>
      <c r="J24" s="333"/>
      <c r="K24" s="333"/>
      <c r="L24" s="333"/>
      <c r="M24" s="333"/>
      <c r="N24" s="333"/>
      <c r="O24" s="333"/>
      <c r="P24" s="333"/>
      <c r="Q24" s="333"/>
      <c r="R24" s="333"/>
      <c r="S24" s="333"/>
    </row>
    <row r="25" spans="1:19">
      <c r="A25" s="4">
        <v>24167</v>
      </c>
      <c r="B25" s="7">
        <v>17300</v>
      </c>
      <c r="I25" s="333"/>
      <c r="J25" s="333"/>
      <c r="K25" s="333"/>
      <c r="L25" s="333"/>
      <c r="M25" s="333"/>
      <c r="N25" s="333"/>
      <c r="O25" s="333"/>
      <c r="P25" s="333"/>
      <c r="Q25" s="333"/>
      <c r="R25" s="333"/>
      <c r="S25" s="333"/>
    </row>
    <row r="26" spans="1:19">
      <c r="A26" s="4">
        <v>24198</v>
      </c>
      <c r="B26" s="7">
        <v>17600</v>
      </c>
      <c r="I26" s="333"/>
      <c r="J26" s="333"/>
      <c r="K26" s="333"/>
      <c r="L26" s="333"/>
      <c r="M26" s="333"/>
      <c r="N26" s="333"/>
      <c r="O26" s="333"/>
      <c r="P26" s="333"/>
      <c r="Q26" s="333"/>
      <c r="R26" s="333"/>
      <c r="S26" s="333"/>
    </row>
    <row r="27" spans="1:19">
      <c r="A27" s="4">
        <v>24228</v>
      </c>
      <c r="B27" s="7">
        <v>18280</v>
      </c>
    </row>
    <row r="28" spans="1:19">
      <c r="A28" s="4">
        <v>24259</v>
      </c>
      <c r="B28" s="7">
        <v>19090</v>
      </c>
      <c r="I28" s="332" t="s">
        <v>94</v>
      </c>
      <c r="J28" s="333"/>
      <c r="K28" s="333"/>
      <c r="L28" s="333"/>
      <c r="M28" s="333"/>
      <c r="N28" s="333"/>
      <c r="O28" s="333"/>
      <c r="P28" s="333"/>
      <c r="Q28" s="333"/>
      <c r="R28" s="333"/>
      <c r="S28" s="333"/>
    </row>
    <row r="29" spans="1:19">
      <c r="A29" s="4">
        <v>24289</v>
      </c>
      <c r="B29" s="7">
        <v>19870</v>
      </c>
      <c r="I29" s="333"/>
      <c r="J29" s="333"/>
      <c r="K29" s="333"/>
      <c r="L29" s="333"/>
      <c r="M29" s="333"/>
      <c r="N29" s="333"/>
      <c r="O29" s="333"/>
      <c r="P29" s="333"/>
      <c r="Q29" s="333"/>
      <c r="R29" s="333"/>
      <c r="S29" s="333"/>
    </row>
    <row r="30" spans="1:19">
      <c r="A30" s="4">
        <v>24320</v>
      </c>
      <c r="B30" s="7">
        <v>20430</v>
      </c>
      <c r="I30" s="333"/>
      <c r="J30" s="333"/>
      <c r="K30" s="333"/>
      <c r="L30" s="333"/>
      <c r="M30" s="333"/>
      <c r="N30" s="333"/>
      <c r="O30" s="333"/>
      <c r="P30" s="333"/>
      <c r="Q30" s="333"/>
      <c r="R30" s="333"/>
      <c r="S30" s="333"/>
    </row>
    <row r="31" spans="1:19">
      <c r="A31" s="4">
        <v>24351</v>
      </c>
      <c r="B31" s="7">
        <v>21010</v>
      </c>
      <c r="I31" s="333"/>
      <c r="J31" s="333"/>
      <c r="K31" s="333"/>
      <c r="L31" s="333"/>
      <c r="M31" s="333"/>
      <c r="N31" s="333"/>
      <c r="O31" s="333"/>
      <c r="P31" s="333"/>
      <c r="Q31" s="333"/>
      <c r="R31" s="333"/>
      <c r="S31" s="333"/>
    </row>
    <row r="32" spans="1:19">
      <c r="A32" s="4">
        <v>24381</v>
      </c>
      <c r="B32" s="7">
        <v>21610</v>
      </c>
      <c r="I32" s="333"/>
      <c r="J32" s="333"/>
      <c r="K32" s="333"/>
      <c r="L32" s="333"/>
      <c r="M32" s="333"/>
      <c r="N32" s="333"/>
      <c r="O32" s="333"/>
      <c r="P32" s="333"/>
      <c r="Q32" s="333"/>
      <c r="R32" s="333"/>
      <c r="S32" s="333"/>
    </row>
    <row r="33" spans="1:19">
      <c r="A33" s="4">
        <v>24412</v>
      </c>
      <c r="B33" s="7">
        <v>22180</v>
      </c>
      <c r="I33" s="333"/>
      <c r="J33" s="333"/>
      <c r="K33" s="333"/>
      <c r="L33" s="333"/>
      <c r="M33" s="333"/>
      <c r="N33" s="333"/>
      <c r="O33" s="333"/>
      <c r="P33" s="333"/>
      <c r="Q33" s="333"/>
      <c r="R33" s="333"/>
      <c r="S33" s="333"/>
    </row>
    <row r="34" spans="1:19">
      <c r="A34" s="4">
        <v>24442</v>
      </c>
      <c r="B34" s="7">
        <v>22690</v>
      </c>
      <c r="I34" s="333"/>
      <c r="J34" s="333"/>
      <c r="K34" s="333"/>
      <c r="L34" s="333"/>
      <c r="M34" s="333"/>
      <c r="N34" s="333"/>
      <c r="O34" s="333"/>
      <c r="P34" s="333"/>
      <c r="Q34" s="333"/>
      <c r="R34" s="333"/>
      <c r="S34" s="333"/>
    </row>
    <row r="35" spans="1:19">
      <c r="A35" s="4">
        <v>24473</v>
      </c>
      <c r="B35" s="7">
        <v>23230</v>
      </c>
      <c r="I35" s="333"/>
      <c r="J35" s="333"/>
      <c r="K35" s="333"/>
      <c r="L35" s="333"/>
      <c r="M35" s="333"/>
      <c r="N35" s="333"/>
      <c r="O35" s="333"/>
      <c r="P35" s="333"/>
      <c r="Q35" s="333"/>
      <c r="R35" s="333"/>
      <c r="S35" s="333"/>
    </row>
    <row r="36" spans="1:19">
      <c r="A36" s="4">
        <v>24504</v>
      </c>
      <c r="B36" s="7">
        <v>23.78</v>
      </c>
      <c r="I36" s="333"/>
      <c r="J36" s="333"/>
      <c r="K36" s="333"/>
      <c r="L36" s="333"/>
      <c r="M36" s="333"/>
      <c r="N36" s="333"/>
      <c r="O36" s="333"/>
      <c r="P36" s="333"/>
      <c r="Q36" s="333"/>
      <c r="R36" s="333"/>
      <c r="S36" s="333"/>
    </row>
    <row r="37" spans="1:19">
      <c r="A37" s="4">
        <v>24532</v>
      </c>
      <c r="B37" s="7">
        <v>24.28</v>
      </c>
    </row>
    <row r="38" spans="1:19">
      <c r="A38" s="4">
        <v>24563</v>
      </c>
      <c r="B38" s="7">
        <v>24.64</v>
      </c>
    </row>
    <row r="39" spans="1:19">
      <c r="A39" s="4">
        <v>24593</v>
      </c>
      <c r="B39" s="7">
        <v>25.01</v>
      </c>
    </row>
    <row r="40" spans="1:19">
      <c r="A40" s="4">
        <v>24624</v>
      </c>
      <c r="B40" s="7">
        <v>25.46</v>
      </c>
    </row>
    <row r="41" spans="1:19">
      <c r="A41" s="4">
        <v>24654</v>
      </c>
      <c r="B41" s="7">
        <v>26.18</v>
      </c>
    </row>
    <row r="42" spans="1:19">
      <c r="A42" s="4">
        <v>24685</v>
      </c>
      <c r="B42" s="7">
        <v>26.84</v>
      </c>
    </row>
    <row r="43" spans="1:19">
      <c r="A43" s="4">
        <v>24716</v>
      </c>
      <c r="B43" s="7">
        <v>27.25</v>
      </c>
    </row>
    <row r="44" spans="1:19">
      <c r="A44" s="4">
        <v>24746</v>
      </c>
      <c r="B44" s="7">
        <v>27.38</v>
      </c>
    </row>
    <row r="45" spans="1:19">
      <c r="A45" s="4">
        <v>24777</v>
      </c>
      <c r="B45" s="7">
        <v>27.57</v>
      </c>
    </row>
    <row r="46" spans="1:19">
      <c r="A46" s="4">
        <v>24807</v>
      </c>
      <c r="B46" s="7">
        <v>27.96</v>
      </c>
    </row>
    <row r="47" spans="1:19">
      <c r="A47" s="4">
        <v>24838</v>
      </c>
      <c r="B47" s="7">
        <v>28.48</v>
      </c>
    </row>
    <row r="48" spans="1:19">
      <c r="A48" s="4">
        <v>24869</v>
      </c>
      <c r="B48" s="7">
        <v>28.98</v>
      </c>
    </row>
    <row r="49" spans="1:2">
      <c r="A49" s="4">
        <v>24898</v>
      </c>
      <c r="B49" s="7">
        <v>29.4</v>
      </c>
    </row>
    <row r="50" spans="1:2">
      <c r="A50" s="4">
        <v>24929</v>
      </c>
      <c r="B50" s="7">
        <v>29.83</v>
      </c>
    </row>
    <row r="51" spans="1:2">
      <c r="A51" s="4">
        <v>24959</v>
      </c>
      <c r="B51" s="7">
        <v>30.39</v>
      </c>
    </row>
    <row r="52" spans="1:2">
      <c r="A52" s="4">
        <v>24990</v>
      </c>
      <c r="B52" s="7">
        <v>31.2</v>
      </c>
    </row>
    <row r="53" spans="1:2">
      <c r="A53" s="4">
        <v>25020</v>
      </c>
      <c r="B53" s="7">
        <v>32.090000000000003</v>
      </c>
    </row>
    <row r="54" spans="1:2">
      <c r="A54" s="4">
        <v>25051</v>
      </c>
      <c r="B54" s="7">
        <v>32.81</v>
      </c>
    </row>
    <row r="55" spans="1:2">
      <c r="A55" s="4">
        <v>25082</v>
      </c>
      <c r="B55" s="7">
        <v>33.409999999999997</v>
      </c>
    </row>
    <row r="56" spans="1:2">
      <c r="A56" s="4">
        <v>25112</v>
      </c>
      <c r="B56" s="7">
        <v>33.880000000000003</v>
      </c>
    </row>
    <row r="57" spans="1:2">
      <c r="A57" s="4">
        <v>25143</v>
      </c>
      <c r="B57" s="7">
        <v>34.39</v>
      </c>
    </row>
    <row r="58" spans="1:2">
      <c r="A58" s="4">
        <v>25173</v>
      </c>
      <c r="B58" s="7">
        <v>34.950000000000003</v>
      </c>
    </row>
    <row r="59" spans="1:2">
      <c r="A59" s="4">
        <v>25204</v>
      </c>
      <c r="B59" s="7">
        <v>35.619999999999997</v>
      </c>
    </row>
    <row r="60" spans="1:2">
      <c r="A60" s="4">
        <v>25235</v>
      </c>
      <c r="B60" s="7">
        <v>36.270000000000003</v>
      </c>
    </row>
    <row r="61" spans="1:2">
      <c r="A61" s="4">
        <v>25263</v>
      </c>
      <c r="B61" s="7">
        <v>36.909999999999997</v>
      </c>
    </row>
    <row r="62" spans="1:2">
      <c r="A62" s="4">
        <v>25294</v>
      </c>
      <c r="B62" s="7">
        <v>37.43</v>
      </c>
    </row>
    <row r="63" spans="1:2">
      <c r="A63" s="4">
        <v>25324</v>
      </c>
      <c r="B63" s="7">
        <v>38.01</v>
      </c>
    </row>
    <row r="64" spans="1:2">
      <c r="A64" s="4">
        <v>25355</v>
      </c>
      <c r="B64" s="7">
        <v>38.479999999999997</v>
      </c>
    </row>
    <row r="65" spans="1:2">
      <c r="A65" s="4">
        <v>25385</v>
      </c>
      <c r="B65" s="7">
        <v>39</v>
      </c>
    </row>
    <row r="66" spans="1:2">
      <c r="A66" s="4">
        <v>25416</v>
      </c>
      <c r="B66" s="7">
        <v>39.270000000000003</v>
      </c>
    </row>
    <row r="67" spans="1:2">
      <c r="A67" s="4">
        <v>25447</v>
      </c>
      <c r="B67" s="7">
        <v>39.56</v>
      </c>
    </row>
    <row r="68" spans="1:2">
      <c r="A68" s="4">
        <v>25477</v>
      </c>
      <c r="B68" s="7">
        <v>39.92</v>
      </c>
    </row>
    <row r="69" spans="1:2">
      <c r="A69" s="4">
        <v>25508</v>
      </c>
      <c r="B69" s="7">
        <v>40.57</v>
      </c>
    </row>
    <row r="70" spans="1:2">
      <c r="A70" s="4">
        <v>25538</v>
      </c>
      <c r="B70" s="7">
        <v>41.42</v>
      </c>
    </row>
    <row r="71" spans="1:2">
      <c r="A71" s="4">
        <v>25569</v>
      </c>
      <c r="B71" s="7">
        <v>42.35</v>
      </c>
    </row>
    <row r="72" spans="1:2">
      <c r="A72" s="4">
        <v>25600</v>
      </c>
      <c r="B72" s="7">
        <v>43.3</v>
      </c>
    </row>
    <row r="73" spans="1:2">
      <c r="A73" s="4">
        <v>25628</v>
      </c>
      <c r="B73" s="7">
        <v>44.17</v>
      </c>
    </row>
    <row r="74" spans="1:2">
      <c r="A74" s="4">
        <v>25659</v>
      </c>
      <c r="B74" s="7">
        <v>44.67</v>
      </c>
    </row>
    <row r="75" spans="1:2">
      <c r="A75" s="4">
        <v>25689</v>
      </c>
      <c r="B75" s="7">
        <v>45.08</v>
      </c>
    </row>
    <row r="76" spans="1:2">
      <c r="A76" s="4">
        <v>25720</v>
      </c>
      <c r="B76" s="7">
        <v>45.5</v>
      </c>
    </row>
    <row r="77" spans="1:2">
      <c r="A77" s="4">
        <v>25750</v>
      </c>
      <c r="B77" s="7">
        <v>46.2</v>
      </c>
    </row>
    <row r="78" spans="1:2">
      <c r="A78" s="4">
        <v>25781</v>
      </c>
      <c r="B78" s="7">
        <v>46.61</v>
      </c>
    </row>
    <row r="79" spans="1:2">
      <c r="A79" s="4">
        <v>25812</v>
      </c>
      <c r="B79" s="7">
        <v>47.05</v>
      </c>
    </row>
    <row r="80" spans="1:2">
      <c r="A80" s="4">
        <v>25842</v>
      </c>
      <c r="B80" s="7">
        <v>47.61</v>
      </c>
    </row>
    <row r="81" spans="1:2">
      <c r="A81" s="4">
        <v>25873</v>
      </c>
      <c r="B81" s="7">
        <v>48.51</v>
      </c>
    </row>
    <row r="82" spans="1:2">
      <c r="A82" s="4">
        <v>25903</v>
      </c>
      <c r="B82" s="7">
        <v>49.54</v>
      </c>
    </row>
    <row r="83" spans="1:2">
      <c r="A83" s="4">
        <v>25934</v>
      </c>
      <c r="B83" s="7">
        <v>50.51</v>
      </c>
    </row>
    <row r="84" spans="1:2">
      <c r="A84" s="4">
        <v>25965</v>
      </c>
      <c r="B84" s="7">
        <v>51.44</v>
      </c>
    </row>
    <row r="85" spans="1:2">
      <c r="A85" s="4">
        <v>25993</v>
      </c>
      <c r="B85" s="7">
        <v>52.12</v>
      </c>
    </row>
    <row r="86" spans="1:2">
      <c r="A86" s="4">
        <v>26024</v>
      </c>
      <c r="B86" s="7">
        <v>52.64</v>
      </c>
    </row>
    <row r="87" spans="1:2">
      <c r="A87" s="4">
        <v>26054</v>
      </c>
      <c r="B87" s="7">
        <v>53.25</v>
      </c>
    </row>
    <row r="88" spans="1:2">
      <c r="A88" s="4">
        <v>26085</v>
      </c>
      <c r="B88" s="7">
        <v>54.01</v>
      </c>
    </row>
    <row r="89" spans="1:2">
      <c r="A89" s="4">
        <v>26115</v>
      </c>
      <c r="B89" s="7">
        <v>55.08</v>
      </c>
    </row>
    <row r="90" spans="1:2">
      <c r="A90" s="4">
        <v>26146</v>
      </c>
      <c r="B90" s="7">
        <v>56.18</v>
      </c>
    </row>
    <row r="91" spans="1:2">
      <c r="A91" s="4">
        <v>26177</v>
      </c>
      <c r="B91" s="7">
        <v>57.36</v>
      </c>
    </row>
    <row r="92" spans="1:2">
      <c r="A92" s="4">
        <v>26207</v>
      </c>
      <c r="B92" s="7">
        <v>58.61</v>
      </c>
    </row>
    <row r="93" spans="1:2">
      <c r="A93" s="4">
        <v>26238</v>
      </c>
      <c r="B93" s="7">
        <v>59.79</v>
      </c>
    </row>
    <row r="94" spans="1:2">
      <c r="A94" s="4">
        <v>26268</v>
      </c>
      <c r="B94" s="7">
        <v>60.77</v>
      </c>
    </row>
    <row r="95" spans="1:2">
      <c r="A95" s="4">
        <v>26299</v>
      </c>
      <c r="B95" s="7">
        <v>61.52</v>
      </c>
    </row>
    <row r="96" spans="1:2">
      <c r="A96" s="4">
        <v>26330</v>
      </c>
      <c r="B96" s="7">
        <v>62.26</v>
      </c>
    </row>
    <row r="97" spans="1:2">
      <c r="A97" s="4">
        <v>26359</v>
      </c>
      <c r="B97" s="7">
        <v>63.09</v>
      </c>
    </row>
    <row r="98" spans="1:2">
      <c r="A98" s="4">
        <v>26390</v>
      </c>
      <c r="B98" s="7">
        <v>63.81</v>
      </c>
    </row>
    <row r="99" spans="1:2">
      <c r="A99" s="4">
        <v>26420</v>
      </c>
      <c r="B99" s="7">
        <v>64.66</v>
      </c>
    </row>
    <row r="100" spans="1:2">
      <c r="A100" s="4">
        <v>26451</v>
      </c>
      <c r="B100" s="7">
        <v>65.75</v>
      </c>
    </row>
    <row r="101" spans="1:2">
      <c r="A101" s="4">
        <v>26481</v>
      </c>
      <c r="B101" s="7">
        <v>66.930000000000007</v>
      </c>
    </row>
    <row r="102" spans="1:2">
      <c r="A102" s="4">
        <v>26512</v>
      </c>
      <c r="B102" s="7">
        <v>67.89</v>
      </c>
    </row>
    <row r="103" spans="1:2">
      <c r="A103" s="4">
        <v>26543</v>
      </c>
      <c r="B103" s="7">
        <v>68.459999999999994</v>
      </c>
    </row>
    <row r="104" spans="1:2">
      <c r="A104" s="4">
        <v>26573</v>
      </c>
      <c r="B104" s="7">
        <v>68.95</v>
      </c>
    </row>
    <row r="105" spans="1:2">
      <c r="A105" s="4">
        <v>26604</v>
      </c>
      <c r="B105" s="7">
        <v>69.61</v>
      </c>
    </row>
    <row r="106" spans="1:2">
      <c r="A106" s="4">
        <v>26634</v>
      </c>
      <c r="B106" s="7">
        <v>70.069999999999993</v>
      </c>
    </row>
    <row r="107" spans="1:2">
      <c r="A107" s="4">
        <v>26665</v>
      </c>
      <c r="B107" s="7">
        <v>70.87</v>
      </c>
    </row>
    <row r="108" spans="1:2">
      <c r="A108" s="4">
        <v>26696</v>
      </c>
      <c r="B108" s="7">
        <v>71.569999999999993</v>
      </c>
    </row>
    <row r="109" spans="1:2">
      <c r="A109" s="4">
        <v>26724</v>
      </c>
      <c r="B109" s="7">
        <v>72.319999999999993</v>
      </c>
    </row>
    <row r="110" spans="1:2">
      <c r="A110" s="4">
        <v>26755</v>
      </c>
      <c r="B110" s="7">
        <v>73.19</v>
      </c>
    </row>
    <row r="111" spans="1:2">
      <c r="A111" s="4">
        <v>26785</v>
      </c>
      <c r="B111" s="7">
        <v>74.03</v>
      </c>
    </row>
    <row r="112" spans="1:2">
      <c r="A112" s="4">
        <v>26816</v>
      </c>
      <c r="B112" s="7">
        <v>74.97</v>
      </c>
    </row>
    <row r="113" spans="1:2">
      <c r="A113" s="4">
        <v>26846</v>
      </c>
      <c r="B113" s="7">
        <v>75.8</v>
      </c>
    </row>
    <row r="114" spans="1:2">
      <c r="A114" s="4">
        <v>26877</v>
      </c>
      <c r="B114" s="7">
        <v>76.48</v>
      </c>
    </row>
    <row r="115" spans="1:2">
      <c r="A115" s="4">
        <v>26908</v>
      </c>
      <c r="B115" s="7">
        <v>77.12</v>
      </c>
    </row>
    <row r="116" spans="1:2">
      <c r="A116" s="4">
        <v>26938</v>
      </c>
      <c r="B116" s="7">
        <v>77.87</v>
      </c>
    </row>
    <row r="117" spans="1:2">
      <c r="A117" s="4">
        <v>26969</v>
      </c>
      <c r="B117" s="7">
        <v>78.400000000000006</v>
      </c>
    </row>
    <row r="118" spans="1:2">
      <c r="A118" s="4">
        <v>26999</v>
      </c>
      <c r="B118" s="7">
        <v>79.069999999999993</v>
      </c>
    </row>
    <row r="119" spans="1:2">
      <c r="A119" s="4">
        <v>27030</v>
      </c>
      <c r="B119" s="7">
        <v>80.62</v>
      </c>
    </row>
    <row r="120" spans="1:2">
      <c r="A120" s="4">
        <v>27061</v>
      </c>
      <c r="B120" s="7">
        <v>81.47</v>
      </c>
    </row>
    <row r="121" spans="1:2">
      <c r="A121" s="4">
        <v>27089</v>
      </c>
      <c r="B121" s="7">
        <v>82.69</v>
      </c>
    </row>
    <row r="122" spans="1:2">
      <c r="A122" s="4">
        <v>27120</v>
      </c>
      <c r="B122" s="7">
        <v>83.73</v>
      </c>
    </row>
    <row r="123" spans="1:2">
      <c r="A123" s="4">
        <v>27150</v>
      </c>
      <c r="B123" s="7">
        <v>85.1</v>
      </c>
    </row>
    <row r="124" spans="1:2">
      <c r="A124" s="4">
        <v>27181</v>
      </c>
      <c r="B124" s="7">
        <v>86.91</v>
      </c>
    </row>
    <row r="125" spans="1:2">
      <c r="A125" s="4">
        <v>27211</v>
      </c>
      <c r="B125" s="7">
        <v>89.8</v>
      </c>
    </row>
    <row r="126" spans="1:2">
      <c r="A126" s="4">
        <v>27242</v>
      </c>
      <c r="B126" s="7">
        <v>93.75</v>
      </c>
    </row>
    <row r="127" spans="1:2">
      <c r="A127" s="4">
        <v>27273</v>
      </c>
      <c r="B127" s="7">
        <v>98.22</v>
      </c>
    </row>
    <row r="128" spans="1:2">
      <c r="A128" s="4">
        <v>27303</v>
      </c>
      <c r="B128" s="7">
        <v>101.9</v>
      </c>
    </row>
    <row r="129" spans="1:2">
      <c r="A129" s="4">
        <v>27334</v>
      </c>
      <c r="B129" s="7">
        <v>104.1</v>
      </c>
    </row>
    <row r="130" spans="1:2">
      <c r="A130" s="4">
        <v>27364</v>
      </c>
      <c r="B130" s="7">
        <v>105.41</v>
      </c>
    </row>
    <row r="131" spans="1:2">
      <c r="A131" s="4">
        <v>27395</v>
      </c>
      <c r="B131" s="7">
        <v>106.76</v>
      </c>
    </row>
    <row r="132" spans="1:2">
      <c r="A132" s="4">
        <v>27426</v>
      </c>
      <c r="B132" s="7">
        <v>108.38</v>
      </c>
    </row>
    <row r="133" spans="1:2">
      <c r="A133" s="4">
        <v>27454</v>
      </c>
      <c r="B133" s="7">
        <v>110.18</v>
      </c>
    </row>
    <row r="134" spans="1:2">
      <c r="A134" s="4">
        <v>27485</v>
      </c>
      <c r="B134" s="7">
        <v>112.25</v>
      </c>
    </row>
    <row r="135" spans="1:2">
      <c r="A135" s="4">
        <v>27515</v>
      </c>
      <c r="B135" s="7">
        <v>114.49</v>
      </c>
    </row>
    <row r="136" spans="1:2">
      <c r="A136" s="4">
        <v>27546</v>
      </c>
      <c r="B136" s="7">
        <v>117.13</v>
      </c>
    </row>
    <row r="137" spans="1:2">
      <c r="A137" s="4">
        <v>27576</v>
      </c>
      <c r="B137" s="7">
        <v>119.27</v>
      </c>
    </row>
    <row r="138" spans="1:2">
      <c r="A138" s="4">
        <v>27607</v>
      </c>
      <c r="B138" s="7">
        <v>121.31</v>
      </c>
    </row>
    <row r="139" spans="1:2">
      <c r="A139" s="4">
        <v>27638</v>
      </c>
      <c r="B139" s="7">
        <v>123.2</v>
      </c>
    </row>
    <row r="140" spans="1:2">
      <c r="A140" s="4">
        <v>27668</v>
      </c>
      <c r="B140" s="7">
        <v>125.7</v>
      </c>
    </row>
    <row r="141" spans="1:2">
      <c r="A141" s="4">
        <v>27699</v>
      </c>
      <c r="B141" s="7">
        <v>128.43</v>
      </c>
    </row>
    <row r="142" spans="1:2">
      <c r="A142" s="4">
        <v>27729</v>
      </c>
      <c r="B142" s="7">
        <v>130.93</v>
      </c>
    </row>
    <row r="143" spans="1:2">
      <c r="A143" s="4">
        <v>27760</v>
      </c>
      <c r="B143" s="7">
        <v>133.34</v>
      </c>
    </row>
    <row r="144" spans="1:2">
      <c r="A144" s="4">
        <v>27791</v>
      </c>
      <c r="B144" s="7">
        <v>135.9</v>
      </c>
    </row>
    <row r="145" spans="1:2">
      <c r="A145" s="4">
        <v>27820</v>
      </c>
      <c r="B145" s="7">
        <v>138.94</v>
      </c>
    </row>
    <row r="146" spans="1:2">
      <c r="A146" s="4">
        <v>27851</v>
      </c>
      <c r="B146" s="7">
        <v>142.24</v>
      </c>
    </row>
    <row r="147" spans="1:2">
      <c r="A147" s="4">
        <v>27881</v>
      </c>
      <c r="B147" s="7">
        <v>145.83000000000001</v>
      </c>
    </row>
    <row r="148" spans="1:2">
      <c r="A148" s="4">
        <v>27912</v>
      </c>
      <c r="B148" s="7">
        <v>150.16999999999999</v>
      </c>
    </row>
    <row r="149" spans="1:2">
      <c r="A149" s="4">
        <v>27942</v>
      </c>
      <c r="B149" s="7">
        <v>154.6</v>
      </c>
    </row>
    <row r="150" spans="1:2">
      <c r="A150" s="4">
        <v>27973</v>
      </c>
      <c r="B150" s="7">
        <v>158.55000000000001</v>
      </c>
    </row>
    <row r="151" spans="1:2">
      <c r="A151" s="4">
        <v>28004</v>
      </c>
      <c r="B151" s="7">
        <v>162.97</v>
      </c>
    </row>
    <row r="152" spans="1:2">
      <c r="A152" s="4">
        <v>28034</v>
      </c>
      <c r="B152" s="7">
        <v>168.33</v>
      </c>
    </row>
    <row r="153" spans="1:2">
      <c r="A153" s="4">
        <v>28065</v>
      </c>
      <c r="B153" s="7">
        <v>174.4</v>
      </c>
    </row>
    <row r="154" spans="1:2">
      <c r="A154" s="4">
        <v>28095</v>
      </c>
      <c r="B154" s="7">
        <v>179.68</v>
      </c>
    </row>
    <row r="155" spans="1:2">
      <c r="A155" s="4">
        <v>28126</v>
      </c>
      <c r="B155" s="7">
        <v>183.65</v>
      </c>
    </row>
    <row r="156" spans="1:2">
      <c r="A156" s="4">
        <v>28157</v>
      </c>
      <c r="B156" s="7">
        <v>186.83</v>
      </c>
    </row>
    <row r="157" spans="1:2">
      <c r="A157" s="4">
        <v>28185</v>
      </c>
      <c r="B157" s="7">
        <v>190.51</v>
      </c>
    </row>
    <row r="158" spans="1:2">
      <c r="A158" s="4">
        <v>28216</v>
      </c>
      <c r="B158" s="7">
        <v>194.83</v>
      </c>
    </row>
    <row r="159" spans="1:2">
      <c r="A159" s="4">
        <v>28246</v>
      </c>
      <c r="B159" s="7">
        <v>200.45</v>
      </c>
    </row>
    <row r="160" spans="1:2">
      <c r="A160" s="4">
        <v>28277</v>
      </c>
      <c r="B160" s="7">
        <v>206.9</v>
      </c>
    </row>
    <row r="161" spans="1:2">
      <c r="A161" s="4">
        <v>28307</v>
      </c>
      <c r="B161" s="7">
        <v>213.8</v>
      </c>
    </row>
    <row r="162" spans="1:2">
      <c r="A162" s="4">
        <v>28338</v>
      </c>
      <c r="B162" s="7">
        <v>219.51</v>
      </c>
    </row>
    <row r="163" spans="1:2">
      <c r="A163" s="4">
        <v>28369</v>
      </c>
      <c r="B163" s="7">
        <v>224.01</v>
      </c>
    </row>
    <row r="164" spans="1:2">
      <c r="A164" s="4">
        <v>28399</v>
      </c>
      <c r="B164" s="7">
        <v>227.15</v>
      </c>
    </row>
    <row r="165" spans="1:2">
      <c r="A165" s="4">
        <v>28430</v>
      </c>
      <c r="B165" s="7">
        <v>230.3</v>
      </c>
    </row>
    <row r="166" spans="1:2">
      <c r="A166" s="4">
        <v>28460</v>
      </c>
      <c r="B166" s="7">
        <v>233.74</v>
      </c>
    </row>
    <row r="167" spans="1:2">
      <c r="A167" s="4">
        <v>28491</v>
      </c>
      <c r="B167" s="7">
        <v>238.32</v>
      </c>
    </row>
    <row r="168" spans="1:2">
      <c r="A168" s="4">
        <v>28522</v>
      </c>
      <c r="B168" s="7">
        <v>243.35</v>
      </c>
    </row>
    <row r="169" spans="1:2">
      <c r="A169" s="4">
        <v>28550</v>
      </c>
      <c r="B169" s="7">
        <v>248.99</v>
      </c>
    </row>
    <row r="170" spans="1:2">
      <c r="A170" s="4">
        <v>28581</v>
      </c>
      <c r="B170" s="7">
        <v>255.41</v>
      </c>
    </row>
    <row r="171" spans="1:2">
      <c r="A171" s="4">
        <v>28611</v>
      </c>
      <c r="B171" s="7">
        <v>262.87</v>
      </c>
    </row>
    <row r="172" spans="1:2">
      <c r="A172" s="4">
        <v>28642</v>
      </c>
      <c r="B172" s="7">
        <v>270.88</v>
      </c>
    </row>
    <row r="173" spans="1:2">
      <c r="A173" s="4">
        <v>28672</v>
      </c>
      <c r="B173" s="7">
        <v>279.04000000000002</v>
      </c>
    </row>
    <row r="174" spans="1:2">
      <c r="A174" s="4">
        <v>28703</v>
      </c>
      <c r="B174" s="7">
        <v>287.58</v>
      </c>
    </row>
    <row r="175" spans="1:2">
      <c r="A175" s="4">
        <v>28734</v>
      </c>
      <c r="B175" s="7">
        <v>295.57</v>
      </c>
    </row>
    <row r="176" spans="1:2">
      <c r="A176" s="4">
        <v>28764</v>
      </c>
      <c r="B176" s="7">
        <v>303.29000000000002</v>
      </c>
    </row>
    <row r="177" spans="1:2">
      <c r="A177" s="4">
        <v>28795</v>
      </c>
      <c r="B177" s="7">
        <v>310.49</v>
      </c>
    </row>
    <row r="178" spans="1:2">
      <c r="A178" s="4">
        <v>28825</v>
      </c>
      <c r="B178" s="7">
        <v>318.44</v>
      </c>
    </row>
    <row r="179" spans="1:2">
      <c r="A179" s="4">
        <v>28856</v>
      </c>
      <c r="B179" s="7">
        <v>326.82</v>
      </c>
    </row>
    <row r="180" spans="1:2">
      <c r="A180" s="4">
        <v>28887</v>
      </c>
      <c r="B180" s="7">
        <v>334.2</v>
      </c>
    </row>
    <row r="181" spans="1:2">
      <c r="A181" s="4">
        <v>28915</v>
      </c>
      <c r="B181" s="7">
        <v>341.97</v>
      </c>
    </row>
    <row r="182" spans="1:2">
      <c r="A182" s="4">
        <v>28946</v>
      </c>
      <c r="B182" s="7">
        <v>350.51</v>
      </c>
    </row>
    <row r="183" spans="1:2">
      <c r="A183" s="4">
        <v>28976</v>
      </c>
      <c r="B183" s="7">
        <v>363.64</v>
      </c>
    </row>
    <row r="184" spans="1:2">
      <c r="A184" s="4">
        <v>29007</v>
      </c>
      <c r="B184" s="7">
        <v>377.54</v>
      </c>
    </row>
    <row r="185" spans="1:2">
      <c r="A185" s="4">
        <v>29037</v>
      </c>
      <c r="B185" s="7">
        <v>390.1</v>
      </c>
    </row>
    <row r="186" spans="1:2">
      <c r="A186" s="4">
        <v>29068</v>
      </c>
      <c r="B186" s="7">
        <v>400.71</v>
      </c>
    </row>
    <row r="187" spans="1:2">
      <c r="A187" s="4">
        <v>29099</v>
      </c>
      <c r="B187" s="7">
        <v>412.24</v>
      </c>
    </row>
    <row r="188" spans="1:2">
      <c r="A188" s="4">
        <v>29129</v>
      </c>
      <c r="B188" s="7">
        <v>428.8</v>
      </c>
    </row>
    <row r="189" spans="1:2">
      <c r="A189" s="4">
        <v>29160</v>
      </c>
      <c r="B189" s="7">
        <v>448.47</v>
      </c>
    </row>
    <row r="190" spans="1:2">
      <c r="A190" s="4">
        <v>29190</v>
      </c>
      <c r="B190" s="7">
        <v>468.71</v>
      </c>
    </row>
    <row r="191" spans="1:2">
      <c r="A191" s="4">
        <v>29221</v>
      </c>
      <c r="B191" s="7">
        <v>487.83</v>
      </c>
    </row>
    <row r="192" spans="1:2">
      <c r="A192" s="4">
        <v>29252</v>
      </c>
      <c r="B192" s="7">
        <v>508.33</v>
      </c>
    </row>
    <row r="193" spans="1:2">
      <c r="A193" s="4">
        <v>29281</v>
      </c>
      <c r="B193" s="7">
        <v>527.14</v>
      </c>
    </row>
    <row r="194" spans="1:2">
      <c r="A194" s="4">
        <v>29312</v>
      </c>
      <c r="B194" s="7">
        <v>546.64</v>
      </c>
    </row>
    <row r="195" spans="1:2">
      <c r="A195" s="4">
        <v>29342</v>
      </c>
      <c r="B195" s="7">
        <v>566.86</v>
      </c>
    </row>
    <row r="196" spans="1:2">
      <c r="A196" s="4">
        <v>29373</v>
      </c>
      <c r="B196" s="7">
        <v>586.13</v>
      </c>
    </row>
    <row r="197" spans="1:2">
      <c r="A197" s="4">
        <v>29403</v>
      </c>
      <c r="B197" s="7">
        <v>604.89</v>
      </c>
    </row>
    <row r="198" spans="1:2">
      <c r="A198" s="4">
        <v>29434</v>
      </c>
      <c r="B198" s="7">
        <v>624.25</v>
      </c>
    </row>
    <row r="199" spans="1:2">
      <c r="A199" s="4">
        <v>29465</v>
      </c>
      <c r="B199" s="7">
        <v>644.23</v>
      </c>
    </row>
    <row r="200" spans="1:2">
      <c r="A200" s="4">
        <v>29495</v>
      </c>
      <c r="B200" s="7">
        <v>663.56</v>
      </c>
    </row>
    <row r="201" spans="1:2">
      <c r="A201" s="4">
        <v>29526</v>
      </c>
      <c r="B201" s="7">
        <v>684.79</v>
      </c>
    </row>
    <row r="202" spans="1:2">
      <c r="A202" s="4">
        <v>29556</v>
      </c>
      <c r="B202" s="7">
        <v>706.7</v>
      </c>
    </row>
    <row r="203" spans="1:2">
      <c r="A203" s="4">
        <v>29587</v>
      </c>
      <c r="B203" s="7">
        <v>738.5</v>
      </c>
    </row>
    <row r="204" spans="1:2">
      <c r="A204" s="4">
        <v>29618</v>
      </c>
      <c r="B204" s="7">
        <v>775.43</v>
      </c>
    </row>
    <row r="205" spans="1:2">
      <c r="A205" s="4">
        <v>29646</v>
      </c>
      <c r="B205" s="7">
        <v>825.83</v>
      </c>
    </row>
    <row r="206" spans="1:2">
      <c r="A206" s="4">
        <v>29677</v>
      </c>
      <c r="B206" s="7">
        <v>877.86</v>
      </c>
    </row>
    <row r="207" spans="1:2">
      <c r="A207" s="4">
        <v>29707</v>
      </c>
      <c r="B207" s="7">
        <v>930.53</v>
      </c>
    </row>
    <row r="208" spans="1:2">
      <c r="A208" s="4">
        <v>29738</v>
      </c>
      <c r="B208" s="7">
        <v>986.36</v>
      </c>
    </row>
    <row r="209" spans="1:2">
      <c r="A209" s="4">
        <v>29768</v>
      </c>
      <c r="B209" s="7">
        <v>1045.54</v>
      </c>
    </row>
    <row r="210" spans="1:2">
      <c r="A210" s="4">
        <v>29799</v>
      </c>
      <c r="B210" s="7">
        <v>1108.27</v>
      </c>
    </row>
    <row r="211" spans="1:2">
      <c r="A211" s="4">
        <v>29830</v>
      </c>
      <c r="B211" s="7">
        <v>1172.55</v>
      </c>
    </row>
    <row r="212" spans="1:2">
      <c r="A212" s="4">
        <v>29860</v>
      </c>
      <c r="B212" s="7">
        <v>1239.3900000000001</v>
      </c>
    </row>
    <row r="213" spans="1:2">
      <c r="A213" s="4">
        <v>29891</v>
      </c>
      <c r="B213" s="7">
        <v>1310.04</v>
      </c>
    </row>
    <row r="214" spans="1:2">
      <c r="A214" s="4">
        <v>29921</v>
      </c>
      <c r="B214" s="7">
        <v>1382.09</v>
      </c>
    </row>
    <row r="215" spans="1:2">
      <c r="A215" s="4">
        <v>29952</v>
      </c>
      <c r="B215" s="7">
        <v>1453.96</v>
      </c>
    </row>
    <row r="216" spans="1:2">
      <c r="A216" s="4">
        <v>29983</v>
      </c>
      <c r="B216" s="7">
        <v>1526.66</v>
      </c>
    </row>
    <row r="217" spans="1:2">
      <c r="A217" s="4">
        <v>30011</v>
      </c>
      <c r="B217" s="7">
        <v>1602.99</v>
      </c>
    </row>
    <row r="218" spans="1:2">
      <c r="A218" s="4">
        <v>30042</v>
      </c>
      <c r="B218" s="7">
        <v>1683.14</v>
      </c>
    </row>
    <row r="219" spans="1:2">
      <c r="A219" s="4">
        <v>30072</v>
      </c>
      <c r="B219" s="7">
        <v>1775.71</v>
      </c>
    </row>
    <row r="220" spans="1:2">
      <c r="A220" s="4">
        <v>30103</v>
      </c>
      <c r="B220" s="7">
        <v>1873.37</v>
      </c>
    </row>
    <row r="221" spans="1:2">
      <c r="A221" s="4">
        <v>30133</v>
      </c>
      <c r="B221" s="7">
        <v>1976.41</v>
      </c>
    </row>
    <row r="222" spans="1:2">
      <c r="A222" s="4">
        <v>30164</v>
      </c>
      <c r="B222" s="7">
        <v>2094.9899999999998</v>
      </c>
    </row>
    <row r="223" spans="1:2">
      <c r="A223" s="4">
        <v>30195</v>
      </c>
      <c r="B223" s="7">
        <v>2241.64</v>
      </c>
    </row>
    <row r="224" spans="1:2">
      <c r="A224" s="4">
        <v>30225</v>
      </c>
      <c r="B224" s="7">
        <v>2398.5500000000002</v>
      </c>
    </row>
    <row r="225" spans="1:2">
      <c r="A225" s="4">
        <v>30256</v>
      </c>
      <c r="B225" s="7">
        <v>2566.4499999999998</v>
      </c>
    </row>
    <row r="226" spans="1:2">
      <c r="A226" s="4">
        <v>30286</v>
      </c>
      <c r="B226" s="7">
        <v>2733.27</v>
      </c>
    </row>
    <row r="227" spans="1:2">
      <c r="A227" s="4">
        <v>30317</v>
      </c>
      <c r="B227" s="7">
        <v>2910.93</v>
      </c>
    </row>
    <row r="228" spans="1:2">
      <c r="A228" s="4">
        <v>30348</v>
      </c>
      <c r="B228" s="7">
        <v>3085.59</v>
      </c>
    </row>
    <row r="229" spans="1:2">
      <c r="A229" s="4">
        <v>30376</v>
      </c>
      <c r="B229" s="7">
        <v>3292.32</v>
      </c>
    </row>
    <row r="230" spans="1:2">
      <c r="A230" s="4">
        <v>30407</v>
      </c>
      <c r="B230" s="7">
        <v>3588.63</v>
      </c>
    </row>
    <row r="231" spans="1:2">
      <c r="A231" s="4">
        <v>30437</v>
      </c>
      <c r="B231" s="7">
        <v>3911.61</v>
      </c>
    </row>
    <row r="232" spans="1:2">
      <c r="A232" s="4">
        <v>30468</v>
      </c>
      <c r="B232" s="7">
        <v>4224.54</v>
      </c>
    </row>
    <row r="233" spans="1:2">
      <c r="A233" s="4">
        <v>30498</v>
      </c>
      <c r="B233" s="7">
        <v>4554.05</v>
      </c>
    </row>
    <row r="234" spans="1:2">
      <c r="A234" s="4">
        <v>30529</v>
      </c>
      <c r="B234" s="7">
        <v>4963.91</v>
      </c>
    </row>
    <row r="235" spans="1:2">
      <c r="A235" s="4">
        <v>30560</v>
      </c>
      <c r="B235" s="7">
        <v>5385.84</v>
      </c>
    </row>
    <row r="236" spans="1:2">
      <c r="A236" s="4">
        <v>30590</v>
      </c>
      <c r="B236" s="7">
        <v>5897.49</v>
      </c>
    </row>
    <row r="237" spans="1:2">
      <c r="A237" s="4">
        <v>30621</v>
      </c>
      <c r="B237" s="7">
        <v>6469.55</v>
      </c>
    </row>
    <row r="238" spans="1:2">
      <c r="A238" s="4">
        <v>30651</v>
      </c>
      <c r="B238" s="7">
        <v>7012.99</v>
      </c>
    </row>
    <row r="239" spans="1:2">
      <c r="A239" s="4">
        <v>30682</v>
      </c>
      <c r="B239" s="7">
        <v>7545.98</v>
      </c>
    </row>
    <row r="240" spans="1:2">
      <c r="A240" s="4">
        <v>30713</v>
      </c>
      <c r="B240" s="7">
        <v>8285.49</v>
      </c>
    </row>
    <row r="241" spans="1:2">
      <c r="A241" s="4">
        <v>30742</v>
      </c>
      <c r="B241" s="7">
        <v>9304.61</v>
      </c>
    </row>
    <row r="242" spans="1:2">
      <c r="A242" s="4">
        <v>30773</v>
      </c>
      <c r="B242" s="7">
        <v>10235.07</v>
      </c>
    </row>
    <row r="243" spans="1:2">
      <c r="A243" s="4">
        <v>30803</v>
      </c>
      <c r="B243" s="7">
        <v>11145.99</v>
      </c>
    </row>
    <row r="244" spans="1:2">
      <c r="A244" s="4">
        <v>30834</v>
      </c>
      <c r="B244" s="7">
        <v>12137.98</v>
      </c>
    </row>
    <row r="245" spans="1:2">
      <c r="A245" s="4">
        <v>30864</v>
      </c>
      <c r="B245" s="7">
        <v>13254.67</v>
      </c>
    </row>
    <row r="246" spans="1:2">
      <c r="A246" s="4">
        <v>30895</v>
      </c>
      <c r="B246" s="7">
        <v>14619.9</v>
      </c>
    </row>
    <row r="247" spans="1:2">
      <c r="A247" s="4">
        <v>30926</v>
      </c>
      <c r="B247" s="7">
        <v>16169.61</v>
      </c>
    </row>
    <row r="248" spans="1:2">
      <c r="A248" s="4">
        <v>30956</v>
      </c>
      <c r="B248" s="7">
        <v>17867.419999999998</v>
      </c>
    </row>
    <row r="249" spans="1:2">
      <c r="A249" s="4">
        <v>30987</v>
      </c>
      <c r="B249" s="7">
        <v>20118.71</v>
      </c>
    </row>
    <row r="250" spans="1:2">
      <c r="A250" s="4">
        <v>31017</v>
      </c>
      <c r="B250" s="7">
        <v>22110.46</v>
      </c>
    </row>
    <row r="251" spans="1:2">
      <c r="A251" s="4">
        <v>31048</v>
      </c>
      <c r="B251" s="7">
        <v>24432.06</v>
      </c>
    </row>
    <row r="252" spans="1:2">
      <c r="A252" s="4">
        <v>31079</v>
      </c>
      <c r="B252" s="7">
        <v>27510.5</v>
      </c>
    </row>
    <row r="253" spans="1:2">
      <c r="A253" s="4">
        <v>31107</v>
      </c>
      <c r="B253" s="7">
        <v>30316.57</v>
      </c>
    </row>
    <row r="254" spans="1:2">
      <c r="A254" s="4">
        <v>31138</v>
      </c>
      <c r="B254" s="7">
        <v>34166.769999999997</v>
      </c>
    </row>
    <row r="255" spans="1:2">
      <c r="A255" s="4">
        <v>31168</v>
      </c>
      <c r="B255" s="7">
        <v>38208.46</v>
      </c>
    </row>
    <row r="256" spans="1:2">
      <c r="A256" s="4">
        <v>31199</v>
      </c>
      <c r="B256" s="7">
        <v>42031.56</v>
      </c>
    </row>
    <row r="257" spans="1:2">
      <c r="A257" s="4">
        <v>31229</v>
      </c>
      <c r="B257" s="7">
        <v>45901.91</v>
      </c>
    </row>
    <row r="258" spans="1:2">
      <c r="A258" s="4">
        <v>31260</v>
      </c>
      <c r="B258" s="7">
        <v>49396.88</v>
      </c>
    </row>
    <row r="259" spans="1:2">
      <c r="A259" s="4">
        <v>31291</v>
      </c>
      <c r="B259" s="7">
        <v>53437.4</v>
      </c>
    </row>
    <row r="260" spans="1:2">
      <c r="A260" s="4">
        <v>31321</v>
      </c>
      <c r="B260" s="7">
        <v>58300.2</v>
      </c>
    </row>
    <row r="261" spans="1:2">
      <c r="A261" s="4">
        <v>31352</v>
      </c>
      <c r="B261" s="7">
        <v>63547.22</v>
      </c>
    </row>
    <row r="262" spans="1:2">
      <c r="A262" s="4">
        <v>31382</v>
      </c>
      <c r="B262" s="7">
        <v>70613.67</v>
      </c>
    </row>
    <row r="263" spans="1:2">
      <c r="A263" s="4">
        <v>31413</v>
      </c>
      <c r="B263" s="7">
        <v>80047.66</v>
      </c>
    </row>
    <row r="264" spans="1:2">
      <c r="A264" s="4">
        <v>31444</v>
      </c>
      <c r="B264" s="7">
        <v>93039.4</v>
      </c>
    </row>
    <row r="265" spans="1:2">
      <c r="A265" s="4">
        <v>31472</v>
      </c>
      <c r="B265" s="7">
        <v>106.4</v>
      </c>
    </row>
    <row r="266" spans="1:2">
      <c r="A266" s="4">
        <v>31503</v>
      </c>
      <c r="B266" s="7">
        <v>106.28</v>
      </c>
    </row>
    <row r="267" spans="1:2">
      <c r="A267" s="4">
        <v>31533</v>
      </c>
      <c r="B267" s="7">
        <v>107.12</v>
      </c>
    </row>
    <row r="268" spans="1:2">
      <c r="A268" s="4">
        <v>31564</v>
      </c>
      <c r="B268" s="7">
        <v>108.61</v>
      </c>
    </row>
    <row r="269" spans="1:2">
      <c r="A269" s="4">
        <v>31594</v>
      </c>
      <c r="B269" s="7">
        <v>109.99</v>
      </c>
    </row>
    <row r="270" spans="1:2">
      <c r="A270" s="4">
        <v>31625</v>
      </c>
      <c r="B270" s="7">
        <v>111.31</v>
      </c>
    </row>
    <row r="271" spans="1:2">
      <c r="A271" s="4">
        <v>31656</v>
      </c>
      <c r="B271" s="7">
        <v>113.18</v>
      </c>
    </row>
    <row r="272" spans="1:2">
      <c r="A272" s="4">
        <v>31686</v>
      </c>
      <c r="B272" s="7">
        <v>115.13</v>
      </c>
    </row>
    <row r="273" spans="1:2">
      <c r="A273" s="4">
        <v>31717</v>
      </c>
      <c r="B273" s="7">
        <v>117.32</v>
      </c>
    </row>
    <row r="274" spans="1:2">
      <c r="A274" s="4">
        <v>31747</v>
      </c>
      <c r="B274" s="7">
        <v>121.17</v>
      </c>
    </row>
    <row r="275" spans="1:2">
      <c r="A275" s="4">
        <v>31778</v>
      </c>
      <c r="B275" s="7">
        <v>129.97999999999999</v>
      </c>
    </row>
    <row r="276" spans="1:2">
      <c r="A276" s="4">
        <v>31809</v>
      </c>
      <c r="B276" s="7">
        <v>151.85</v>
      </c>
    </row>
    <row r="277" spans="1:2">
      <c r="A277" s="4">
        <v>31837</v>
      </c>
      <c r="B277" s="7">
        <v>181.61</v>
      </c>
    </row>
    <row r="278" spans="1:2">
      <c r="A278" s="4">
        <v>31868</v>
      </c>
      <c r="B278" s="7">
        <v>207.97</v>
      </c>
    </row>
    <row r="279" spans="1:2">
      <c r="A279" s="4">
        <v>31898</v>
      </c>
      <c r="B279" s="7">
        <v>251.56</v>
      </c>
    </row>
    <row r="280" spans="1:2">
      <c r="A280" s="4">
        <v>31929</v>
      </c>
      <c r="B280" s="7">
        <v>310.52999999999997</v>
      </c>
    </row>
    <row r="281" spans="1:2">
      <c r="A281" s="4">
        <v>31959</v>
      </c>
      <c r="B281" s="7">
        <v>366.49</v>
      </c>
    </row>
    <row r="282" spans="1:2">
      <c r="A282" s="4">
        <v>31990</v>
      </c>
      <c r="B282" s="7">
        <v>377.67</v>
      </c>
    </row>
    <row r="283" spans="1:2">
      <c r="A283" s="4">
        <v>32021</v>
      </c>
      <c r="B283" s="7">
        <v>401.69</v>
      </c>
    </row>
    <row r="284" spans="1:2">
      <c r="A284" s="4">
        <v>32051</v>
      </c>
      <c r="B284" s="7">
        <v>424.51</v>
      </c>
    </row>
    <row r="285" spans="1:2">
      <c r="A285" s="4">
        <v>32082</v>
      </c>
      <c r="B285" s="7">
        <v>463.48</v>
      </c>
    </row>
    <row r="286" spans="1:2">
      <c r="A286" s="4">
        <v>32112</v>
      </c>
      <c r="B286" s="7">
        <v>522.99</v>
      </c>
    </row>
    <row r="287" spans="1:2">
      <c r="A287" s="4">
        <v>32143</v>
      </c>
      <c r="B287" s="7">
        <v>596.94000000000005</v>
      </c>
    </row>
    <row r="288" spans="1:2">
      <c r="A288" s="4">
        <v>32174</v>
      </c>
      <c r="B288" s="7">
        <v>695.5</v>
      </c>
    </row>
    <row r="289" spans="1:2">
      <c r="A289" s="4">
        <v>32203</v>
      </c>
      <c r="B289" s="7">
        <v>820.42</v>
      </c>
    </row>
    <row r="290" spans="1:2">
      <c r="A290" s="4">
        <v>32234</v>
      </c>
      <c r="B290" s="7">
        <v>951.77</v>
      </c>
    </row>
    <row r="291" spans="1:2">
      <c r="A291" s="4">
        <v>32264</v>
      </c>
      <c r="B291" s="7">
        <v>1135.27</v>
      </c>
    </row>
    <row r="292" spans="1:2">
      <c r="A292" s="4">
        <v>32295</v>
      </c>
      <c r="B292" s="7">
        <v>1337.12</v>
      </c>
    </row>
    <row r="293" spans="1:2">
      <c r="A293" s="4">
        <v>32325</v>
      </c>
      <c r="B293" s="7">
        <v>1598.26</v>
      </c>
    </row>
    <row r="294" spans="1:2">
      <c r="A294" s="4">
        <v>32356</v>
      </c>
      <c r="B294" s="7">
        <v>1982.48</v>
      </c>
    </row>
    <row r="295" spans="1:2">
      <c r="A295" s="4">
        <v>32387</v>
      </c>
      <c r="B295" s="7">
        <v>2392.06</v>
      </c>
    </row>
    <row r="296" spans="1:2">
      <c r="A296" s="4">
        <v>32417</v>
      </c>
      <c r="B296" s="7">
        <v>2966.39</v>
      </c>
    </row>
    <row r="297" spans="1:2">
      <c r="A297" s="4">
        <v>32448</v>
      </c>
      <c r="B297" s="7">
        <v>3774.73</v>
      </c>
    </row>
    <row r="298" spans="1:2">
      <c r="A298" s="4">
        <v>32478</v>
      </c>
      <c r="B298" s="7">
        <v>4790.8900000000003</v>
      </c>
    </row>
    <row r="299" spans="1:2">
      <c r="A299" s="4">
        <v>32509</v>
      </c>
      <c r="B299" s="7">
        <v>6.17</v>
      </c>
    </row>
    <row r="300" spans="1:2">
      <c r="A300" s="4">
        <v>32540</v>
      </c>
      <c r="B300" s="7">
        <v>8.8058239999999994</v>
      </c>
    </row>
    <row r="301" spans="1:2">
      <c r="A301" s="4">
        <v>32568</v>
      </c>
      <c r="B301" s="7">
        <v>9.698734</v>
      </c>
    </row>
    <row r="302" spans="1:2">
      <c r="A302" s="4">
        <v>32599</v>
      </c>
      <c r="B302" s="7">
        <v>10.289386</v>
      </c>
    </row>
    <row r="303" spans="1:2">
      <c r="A303" s="4">
        <v>32629</v>
      </c>
      <c r="B303" s="7">
        <v>11.041539999999999</v>
      </c>
    </row>
    <row r="304" spans="1:2">
      <c r="A304" s="4">
        <v>32660</v>
      </c>
      <c r="B304" s="7">
        <v>12.139068999999999</v>
      </c>
    </row>
    <row r="305" spans="1:2">
      <c r="A305" s="4">
        <v>32690</v>
      </c>
      <c r="B305" s="7">
        <v>15.153199000000001</v>
      </c>
    </row>
    <row r="306" spans="1:2">
      <c r="A306" s="4">
        <v>32721</v>
      </c>
      <c r="B306" s="7">
        <v>19.511258999999999</v>
      </c>
    </row>
    <row r="307" spans="1:2">
      <c r="A307" s="4">
        <v>32752</v>
      </c>
      <c r="B307" s="7">
        <v>25.235862000000001</v>
      </c>
    </row>
    <row r="308" spans="1:2">
      <c r="A308" s="4">
        <v>32782</v>
      </c>
      <c r="B308" s="7">
        <v>34.308154000000002</v>
      </c>
    </row>
    <row r="309" spans="1:2">
      <c r="A309" s="4">
        <v>32813</v>
      </c>
      <c r="B309" s="7">
        <v>47.214880999999998</v>
      </c>
    </row>
    <row r="310" spans="1:2">
      <c r="A310" s="4">
        <v>32843</v>
      </c>
      <c r="B310" s="7">
        <v>66.771283999999994</v>
      </c>
    </row>
    <row r="311" spans="1:2">
      <c r="A311" s="4">
        <v>32874</v>
      </c>
      <c r="B311" s="7">
        <v>102.527306</v>
      </c>
    </row>
    <row r="312" spans="1:2">
      <c r="A312" s="4">
        <v>32905</v>
      </c>
      <c r="B312" s="7">
        <v>160.05537699999999</v>
      </c>
    </row>
    <row r="313" spans="1:2">
      <c r="A313" s="4">
        <v>32933</v>
      </c>
      <c r="B313" s="7">
        <v>276.54367999999999</v>
      </c>
    </row>
    <row r="314" spans="1:2">
      <c r="A314" s="4">
        <v>32964</v>
      </c>
      <c r="B314" s="7">
        <v>509.72530999999998</v>
      </c>
    </row>
    <row r="315" spans="1:2">
      <c r="A315" s="4">
        <v>32994</v>
      </c>
      <c r="B315" s="7">
        <v>738.08224800000005</v>
      </c>
    </row>
    <row r="316" spans="1:2">
      <c r="A316" s="4">
        <v>33025</v>
      </c>
      <c r="B316" s="7">
        <v>796.16931999999997</v>
      </c>
    </row>
    <row r="317" spans="1:2">
      <c r="A317" s="4">
        <v>33055</v>
      </c>
      <c r="B317" s="7">
        <v>872.20348999999999</v>
      </c>
    </row>
    <row r="318" spans="1:2">
      <c r="A318" s="4">
        <v>33086</v>
      </c>
      <c r="B318" s="7">
        <v>984.89218000000005</v>
      </c>
    </row>
    <row r="319" spans="1:2">
      <c r="A319" s="4">
        <v>33117</v>
      </c>
      <c r="B319" s="7">
        <v>1103.3747089999999</v>
      </c>
    </row>
    <row r="320" spans="1:2">
      <c r="A320" s="4">
        <v>33147</v>
      </c>
      <c r="B320" s="7">
        <v>1244.1653209999999</v>
      </c>
    </row>
    <row r="321" spans="1:7">
      <c r="A321" s="4">
        <v>33178</v>
      </c>
      <c r="B321" s="7">
        <v>1420.836796</v>
      </c>
    </row>
    <row r="322" spans="1:7">
      <c r="A322" s="4">
        <v>33208</v>
      </c>
      <c r="B322" s="7">
        <v>1642.203168</v>
      </c>
    </row>
    <row r="323" spans="1:7">
      <c r="A323" s="4">
        <v>33239</v>
      </c>
      <c r="B323" s="7">
        <v>1942.726347</v>
      </c>
    </row>
    <row r="324" spans="1:7">
      <c r="A324" s="4">
        <v>33270</v>
      </c>
      <c r="B324" s="7">
        <v>2329.523162</v>
      </c>
    </row>
    <row r="325" spans="1:7">
      <c r="A325" s="4">
        <v>33298</v>
      </c>
      <c r="B325" s="7">
        <v>2838.989877</v>
      </c>
    </row>
    <row r="326" spans="1:7">
      <c r="A326" s="4">
        <v>33329</v>
      </c>
      <c r="B326" s="7">
        <v>3173.7067830000001</v>
      </c>
    </row>
    <row r="327" spans="1:7">
      <c r="A327" s="4">
        <v>33359</v>
      </c>
      <c r="B327" s="7">
        <v>3332.709492</v>
      </c>
    </row>
    <row r="328" spans="1:7">
      <c r="A328" s="4">
        <v>33390</v>
      </c>
      <c r="B328" s="7">
        <v>3555.3344860000002</v>
      </c>
    </row>
    <row r="329" spans="1:7">
      <c r="A329" s="4">
        <v>33420</v>
      </c>
      <c r="B329" s="7">
        <v>3940.3772100000001</v>
      </c>
    </row>
    <row r="330" spans="1:7">
      <c r="A330" s="4">
        <v>33451</v>
      </c>
      <c r="B330" s="7">
        <v>4418.7390029999997</v>
      </c>
    </row>
    <row r="331" spans="1:7">
      <c r="A331" s="4">
        <v>33482</v>
      </c>
      <c r="B331" s="7">
        <v>5108.9460349999999</v>
      </c>
    </row>
    <row r="332" spans="1:7">
      <c r="A332" s="4">
        <v>33512</v>
      </c>
      <c r="B332" s="7">
        <v>5906.9634050000004</v>
      </c>
    </row>
    <row r="333" spans="1:7">
      <c r="A333" s="4">
        <v>33543</v>
      </c>
      <c r="B333" s="7">
        <v>7152.1512899999998</v>
      </c>
    </row>
    <row r="334" spans="1:7">
      <c r="A334" s="4">
        <v>33573</v>
      </c>
      <c r="B334" s="7">
        <v>9046.0409510000009</v>
      </c>
    </row>
    <row r="335" spans="1:7">
      <c r="A335" s="4">
        <v>33604</v>
      </c>
      <c r="B335" s="14">
        <v>11215.281571</v>
      </c>
      <c r="C335" s="14"/>
      <c r="D335" s="14"/>
      <c r="E335" s="14"/>
      <c r="F335" s="14"/>
      <c r="G335" s="14"/>
    </row>
    <row r="336" spans="1:7">
      <c r="A336" s="4">
        <v>33635</v>
      </c>
      <c r="B336" s="14">
        <v>14086.393652999999</v>
      </c>
      <c r="C336" s="14"/>
      <c r="D336" s="14"/>
      <c r="E336" s="14"/>
      <c r="F336" s="14"/>
      <c r="G336" s="14"/>
    </row>
    <row r="337" spans="1:7">
      <c r="A337" s="4">
        <v>33664</v>
      </c>
      <c r="B337" s="14">
        <v>17762.942395999999</v>
      </c>
      <c r="C337" s="14"/>
      <c r="D337" s="14"/>
      <c r="E337" s="14"/>
      <c r="F337" s="14"/>
      <c r="G337" s="14"/>
    </row>
    <row r="338" spans="1:7">
      <c r="A338" s="4">
        <v>33695</v>
      </c>
      <c r="B338" s="14">
        <v>21676.118605</v>
      </c>
      <c r="C338" s="14"/>
      <c r="D338" s="14"/>
      <c r="E338" s="14"/>
      <c r="F338" s="14"/>
      <c r="G338" s="14"/>
    </row>
    <row r="339" spans="1:7">
      <c r="A339" s="4">
        <v>33725</v>
      </c>
      <c r="B339" s="14">
        <v>25974.492923999998</v>
      </c>
      <c r="C339" s="14"/>
      <c r="D339" s="14"/>
      <c r="E339" s="14"/>
      <c r="F339" s="14"/>
      <c r="G339" s="14"/>
    </row>
    <row r="340" spans="1:7">
      <c r="A340" s="4">
        <v>33756</v>
      </c>
      <c r="B340" s="14">
        <v>32065.511514000002</v>
      </c>
      <c r="C340" s="14"/>
      <c r="D340" s="14"/>
      <c r="E340" s="14"/>
      <c r="F340" s="14"/>
      <c r="G340" s="14"/>
    </row>
    <row r="341" spans="1:7">
      <c r="A341" s="4">
        <v>33786</v>
      </c>
      <c r="B341" s="14">
        <v>39527.156043000003</v>
      </c>
      <c r="C341" s="14"/>
      <c r="D341" s="14"/>
      <c r="E341" s="14"/>
      <c r="F341" s="14"/>
      <c r="G341" s="14"/>
    </row>
    <row r="342" spans="1:7">
      <c r="A342" s="4">
        <v>33817</v>
      </c>
      <c r="B342" s="14">
        <v>47831.811526999998</v>
      </c>
      <c r="C342" s="14"/>
      <c r="D342" s="14"/>
      <c r="E342" s="14"/>
      <c r="F342" s="14"/>
      <c r="G342" s="14"/>
    </row>
    <row r="343" spans="1:7">
      <c r="A343" s="4">
        <v>33848</v>
      </c>
      <c r="B343" s="14">
        <v>58900.092713999999</v>
      </c>
      <c r="C343" s="14"/>
      <c r="D343" s="14"/>
      <c r="E343" s="14"/>
      <c r="F343" s="14"/>
      <c r="G343" s="14"/>
    </row>
    <row r="344" spans="1:7">
      <c r="A344" s="4">
        <v>33878</v>
      </c>
      <c r="B344" s="14">
        <v>72641.484343999997</v>
      </c>
      <c r="C344" s="14"/>
      <c r="D344" s="14"/>
      <c r="E344" s="14"/>
      <c r="F344" s="14"/>
      <c r="G344" s="14"/>
    </row>
    <row r="345" spans="1:7">
      <c r="A345" s="4">
        <v>33909</v>
      </c>
      <c r="B345" s="14">
        <v>91150.534553999998</v>
      </c>
      <c r="C345" s="14"/>
      <c r="D345" s="14"/>
      <c r="E345" s="14"/>
      <c r="F345" s="14"/>
      <c r="G345" s="14"/>
    </row>
    <row r="346" spans="1:7">
      <c r="A346" s="4">
        <v>33939</v>
      </c>
      <c r="B346" s="14">
        <v>112753.211243</v>
      </c>
      <c r="C346" s="14"/>
      <c r="D346" s="14"/>
      <c r="E346" s="14"/>
      <c r="F346" s="14"/>
      <c r="G346" s="14"/>
    </row>
    <row r="347" spans="1:7">
      <c r="A347" s="4">
        <v>33970</v>
      </c>
      <c r="B347" s="7">
        <v>139238.94056300001</v>
      </c>
    </row>
    <row r="348" spans="1:7">
      <c r="A348" s="4">
        <v>34001</v>
      </c>
      <c r="B348" s="7">
        <v>180272.656346</v>
      </c>
    </row>
    <row r="349" spans="1:7">
      <c r="A349" s="4">
        <v>34029</v>
      </c>
      <c r="B349" s="7">
        <v>228441.510121</v>
      </c>
    </row>
    <row r="350" spans="1:7">
      <c r="A350" s="4">
        <v>34060</v>
      </c>
      <c r="B350" s="7">
        <v>287744.926148</v>
      </c>
    </row>
    <row r="351" spans="1:7">
      <c r="A351" s="4">
        <v>34090</v>
      </c>
      <c r="B351" s="7">
        <v>366414.38895599998</v>
      </c>
    </row>
    <row r="352" spans="1:7">
      <c r="A352" s="4">
        <v>34121</v>
      </c>
      <c r="B352" s="7">
        <v>471978.37441400002</v>
      </c>
    </row>
    <row r="353" spans="1:2">
      <c r="A353" s="4">
        <v>34151</v>
      </c>
      <c r="B353" s="7">
        <v>615176.61321099999</v>
      </c>
    </row>
    <row r="354" spans="1:2">
      <c r="A354" s="4">
        <v>34182</v>
      </c>
      <c r="B354" s="7">
        <v>803851.28048199997</v>
      </c>
    </row>
    <row r="355" spans="1:2">
      <c r="A355" s="4">
        <v>34213</v>
      </c>
      <c r="B355" s="7">
        <v>1061.0033040000001</v>
      </c>
    </row>
    <row r="356" spans="1:2">
      <c r="A356" s="4">
        <v>34243</v>
      </c>
      <c r="B356" s="7">
        <v>1425.776239</v>
      </c>
    </row>
    <row r="357" spans="1:2">
      <c r="A357" s="4">
        <v>34274</v>
      </c>
      <c r="B357" s="7">
        <v>1927.2217419999999</v>
      </c>
    </row>
    <row r="358" spans="1:2">
      <c r="A358" s="4">
        <v>34304</v>
      </c>
      <c r="B358" s="7">
        <v>2580.5499119999999</v>
      </c>
    </row>
    <row r="359" spans="1:2">
      <c r="A359" s="4">
        <v>34335</v>
      </c>
      <c r="B359" s="7">
        <v>3527.353674</v>
      </c>
    </row>
    <row r="360" spans="1:2">
      <c r="A360" s="4">
        <v>34366</v>
      </c>
      <c r="B360" s="7">
        <v>4909.0181080000002</v>
      </c>
    </row>
    <row r="361" spans="1:2">
      <c r="A361" s="4">
        <v>34394</v>
      </c>
      <c r="B361" s="7">
        <v>6857.8982960000003</v>
      </c>
    </row>
    <row r="362" spans="1:2">
      <c r="A362" s="4">
        <v>34425</v>
      </c>
      <c r="B362" s="7">
        <v>9849.9993219999997</v>
      </c>
    </row>
    <row r="363" spans="1:2">
      <c r="A363" s="4">
        <v>34455</v>
      </c>
      <c r="B363" s="7">
        <v>13913.124041999999</v>
      </c>
    </row>
    <row r="364" spans="1:2">
      <c r="A364" s="4">
        <v>34486</v>
      </c>
      <c r="B364" s="7">
        <v>20064.116180000001</v>
      </c>
    </row>
    <row r="365" spans="1:2">
      <c r="A365" s="4">
        <v>34516</v>
      </c>
      <c r="B365" s="7">
        <v>10.553724000000001</v>
      </c>
    </row>
    <row r="366" spans="1:2">
      <c r="A366" s="4">
        <v>34547</v>
      </c>
      <c r="B366" s="7">
        <v>11.103573000000001</v>
      </c>
    </row>
    <row r="367" spans="1:2">
      <c r="A367" s="4">
        <v>34578</v>
      </c>
      <c r="B367" s="7">
        <v>11.658751000000001</v>
      </c>
    </row>
    <row r="368" spans="1:2">
      <c r="A368" s="4">
        <v>34608</v>
      </c>
      <c r="B368" s="7">
        <v>11.848788000000001</v>
      </c>
    </row>
    <row r="369" spans="1:2">
      <c r="A369" s="4">
        <v>34639</v>
      </c>
      <c r="B369" s="7">
        <v>12.073914</v>
      </c>
    </row>
    <row r="370" spans="1:2">
      <c r="A370" s="4">
        <v>34669</v>
      </c>
      <c r="B370" s="7">
        <v>12.430094</v>
      </c>
    </row>
    <row r="371" spans="1:2">
      <c r="A371" s="4">
        <v>34700</v>
      </c>
      <c r="B371" s="7">
        <v>12.709771</v>
      </c>
    </row>
    <row r="372" spans="1:2">
      <c r="A372" s="4">
        <v>34731</v>
      </c>
      <c r="B372" s="7">
        <v>12.936004000000001</v>
      </c>
    </row>
    <row r="373" spans="1:2">
      <c r="A373" s="4">
        <v>34759</v>
      </c>
      <c r="B373" s="7">
        <v>13.093823</v>
      </c>
    </row>
    <row r="374" spans="1:2">
      <c r="A374" s="4">
        <v>34790</v>
      </c>
      <c r="B374" s="7">
        <v>13.261423000000001</v>
      </c>
    </row>
    <row r="375" spans="1:2">
      <c r="A375" s="4">
        <v>34820</v>
      </c>
      <c r="B375" s="7">
        <v>13.520020000000001</v>
      </c>
    </row>
    <row r="376" spans="1:2">
      <c r="A376" s="4">
        <v>34851</v>
      </c>
      <c r="B376" s="7">
        <v>13.894524000000001</v>
      </c>
    </row>
    <row r="377" spans="1:2">
      <c r="A377" s="4">
        <v>34881</v>
      </c>
      <c r="B377" s="7">
        <v>14.20715</v>
      </c>
    </row>
    <row r="378" spans="1:2">
      <c r="A378" s="4">
        <v>34912</v>
      </c>
      <c r="B378" s="7">
        <v>14.575115</v>
      </c>
    </row>
    <row r="379" spans="1:2">
      <c r="A379" s="4">
        <v>34943</v>
      </c>
      <c r="B379" s="7">
        <v>14.792284</v>
      </c>
    </row>
    <row r="380" spans="1:2">
      <c r="A380" s="4">
        <v>34973</v>
      </c>
      <c r="B380" s="7">
        <v>14.935769000000001</v>
      </c>
    </row>
    <row r="381" spans="1:2">
      <c r="A381" s="4">
        <v>35004</v>
      </c>
      <c r="B381" s="7">
        <v>15.135908000000001</v>
      </c>
    </row>
    <row r="382" spans="1:2">
      <c r="A382" s="4">
        <v>35034</v>
      </c>
      <c r="B382" s="7">
        <v>15.356892</v>
      </c>
    </row>
    <row r="383" spans="1:2">
      <c r="A383" s="4">
        <v>35065</v>
      </c>
      <c r="B383" s="7">
        <v>15.565745</v>
      </c>
    </row>
    <row r="384" spans="1:2">
      <c r="A384" s="4">
        <v>35096</v>
      </c>
      <c r="B384" s="7">
        <v>15.819466</v>
      </c>
    </row>
    <row r="385" spans="1:2">
      <c r="A385" s="4">
        <v>35125</v>
      </c>
      <c r="B385" s="7">
        <v>16.009298999999999</v>
      </c>
    </row>
    <row r="386" spans="1:2">
      <c r="A386" s="4">
        <v>35156</v>
      </c>
      <c r="B386" s="7">
        <v>16.108556</v>
      </c>
    </row>
    <row r="387" spans="1:2">
      <c r="A387" s="4">
        <v>35186</v>
      </c>
      <c r="B387" s="7">
        <v>16.221315000000001</v>
      </c>
    </row>
    <row r="388" spans="1:2">
      <c r="A388" s="4">
        <v>35217</v>
      </c>
      <c r="B388" s="7">
        <v>16.435435999999999</v>
      </c>
    </row>
    <row r="389" spans="1:2">
      <c r="A389" s="4">
        <v>35247</v>
      </c>
      <c r="B389" s="7">
        <v>16.617868999999999</v>
      </c>
    </row>
    <row r="390" spans="1:2">
      <c r="A390" s="4">
        <v>35278</v>
      </c>
      <c r="B390" s="7">
        <v>16.845533</v>
      </c>
    </row>
    <row r="391" spans="1:2">
      <c r="A391" s="4">
        <v>35309</v>
      </c>
      <c r="B391" s="7">
        <v>16.963450999999999</v>
      </c>
    </row>
    <row r="392" spans="1:2">
      <c r="A392" s="4">
        <v>35339</v>
      </c>
      <c r="B392" s="7">
        <v>16.982109999999999</v>
      </c>
    </row>
    <row r="393" spans="1:2">
      <c r="A393" s="4">
        <v>35370</v>
      </c>
      <c r="B393" s="7">
        <v>17.005884000000002</v>
      </c>
    </row>
    <row r="394" spans="1:2">
      <c r="A394" s="4">
        <v>35400</v>
      </c>
      <c r="B394" s="7">
        <v>17.075607999999999</v>
      </c>
    </row>
    <row r="395" spans="1:2">
      <c r="A395" s="4">
        <v>35431</v>
      </c>
      <c r="B395" s="7">
        <v>17.109759</v>
      </c>
    </row>
    <row r="396" spans="1:2">
      <c r="A396" s="4">
        <v>35462</v>
      </c>
      <c r="B396" s="7">
        <v>17.303099</v>
      </c>
    </row>
    <row r="397" spans="1:2">
      <c r="A397" s="4">
        <v>35490</v>
      </c>
      <c r="B397" s="7">
        <v>17.425951000000001</v>
      </c>
    </row>
    <row r="398" spans="1:2">
      <c r="A398" s="4">
        <v>35521</v>
      </c>
      <c r="B398" s="7">
        <v>17.528763999999999</v>
      </c>
    </row>
    <row r="399" spans="1:2">
      <c r="A399" s="4">
        <v>35551</v>
      </c>
      <c r="B399" s="7">
        <v>17.647959</v>
      </c>
    </row>
    <row r="400" spans="1:2">
      <c r="A400" s="4">
        <v>35582</v>
      </c>
      <c r="B400" s="7">
        <v>17.736198000000002</v>
      </c>
    </row>
    <row r="401" spans="1:2">
      <c r="A401" s="4">
        <v>35612</v>
      </c>
      <c r="B401" s="7">
        <v>17.833746999999999</v>
      </c>
    </row>
    <row r="402" spans="1:2">
      <c r="A402" s="4">
        <v>35643</v>
      </c>
      <c r="B402" s="7">
        <v>17.889030999999999</v>
      </c>
    </row>
    <row r="403" spans="1:2">
      <c r="A403" s="4">
        <v>35674</v>
      </c>
      <c r="B403" s="7">
        <v>17.919442</v>
      </c>
    </row>
    <row r="404" spans="1:2">
      <c r="A404" s="4">
        <v>35704</v>
      </c>
      <c r="B404" s="7">
        <v>17.910481999999998</v>
      </c>
    </row>
    <row r="405" spans="1:2">
      <c r="A405" s="4">
        <v>35735</v>
      </c>
      <c r="B405" s="7">
        <v>17.955258000000001</v>
      </c>
    </row>
    <row r="406" spans="1:2">
      <c r="A406" s="4">
        <v>35765</v>
      </c>
      <c r="B406" s="7">
        <v>17.967825999999999</v>
      </c>
    </row>
    <row r="407" spans="1:2">
      <c r="A407" s="4">
        <v>35796</v>
      </c>
      <c r="B407" s="7">
        <v>18.055868</v>
      </c>
    </row>
    <row r="408" spans="1:2">
      <c r="A408" s="4">
        <v>35827</v>
      </c>
      <c r="B408" s="7">
        <v>18.153369000000001</v>
      </c>
    </row>
    <row r="409" spans="1:2">
      <c r="A409" s="4">
        <v>35855</v>
      </c>
      <c r="B409" s="7">
        <v>18.269549999999999</v>
      </c>
    </row>
    <row r="410" spans="1:2">
      <c r="A410" s="4">
        <v>35886</v>
      </c>
      <c r="B410" s="7">
        <v>18.340800999999999</v>
      </c>
    </row>
    <row r="411" spans="1:2">
      <c r="A411" s="4">
        <v>35916</v>
      </c>
      <c r="B411" s="7">
        <v>18.381150000000002</v>
      </c>
    </row>
    <row r="412" spans="1:2">
      <c r="A412" s="4">
        <v>35947</v>
      </c>
      <c r="B412" s="7">
        <v>18.456512</v>
      </c>
    </row>
    <row r="413" spans="1:2">
      <c r="A413" s="4">
        <v>35977</v>
      </c>
      <c r="B413" s="7">
        <v>18.519264</v>
      </c>
    </row>
    <row r="414" spans="1:2">
      <c r="A414" s="4">
        <v>36008</v>
      </c>
      <c r="B414" s="7">
        <v>18.498892000000001</v>
      </c>
    </row>
    <row r="415" spans="1:2">
      <c r="A415" s="4">
        <v>36039</v>
      </c>
      <c r="B415" s="7">
        <v>18.430446</v>
      </c>
    </row>
    <row r="416" spans="1:2">
      <c r="A416" s="4">
        <v>36069</v>
      </c>
      <c r="B416" s="7">
        <v>18.349352</v>
      </c>
    </row>
    <row r="417" spans="1:2">
      <c r="A417" s="4">
        <v>36100</v>
      </c>
      <c r="B417" s="7">
        <v>18.351185999999998</v>
      </c>
    </row>
    <row r="418" spans="1:2">
      <c r="A418" s="4">
        <v>36130</v>
      </c>
      <c r="B418" s="7">
        <v>18.330998999999998</v>
      </c>
    </row>
    <row r="419" spans="1:2">
      <c r="A419" s="4">
        <v>36161</v>
      </c>
      <c r="B419" s="7">
        <v>18.354828999999999</v>
      </c>
    </row>
    <row r="420" spans="1:2">
      <c r="A420" s="4">
        <v>36192</v>
      </c>
      <c r="B420" s="7">
        <v>18.479641000000001</v>
      </c>
    </row>
    <row r="421" spans="1:2">
      <c r="A421" s="4">
        <v>36220</v>
      </c>
      <c r="B421" s="7">
        <v>18.597909999999999</v>
      </c>
    </row>
    <row r="422" spans="1:2">
      <c r="A422" s="4">
        <v>36251</v>
      </c>
      <c r="B422" s="7">
        <v>18.824804</v>
      </c>
    </row>
    <row r="423" spans="1:2">
      <c r="A423" s="4">
        <v>36281</v>
      </c>
      <c r="B423" s="7">
        <v>18.971637000000001</v>
      </c>
    </row>
    <row r="424" spans="1:2">
      <c r="A424" s="4">
        <v>36312</v>
      </c>
      <c r="B424" s="7">
        <v>19.068391999999999</v>
      </c>
    </row>
    <row r="425" spans="1:2">
      <c r="A425" s="4">
        <v>36342</v>
      </c>
      <c r="B425" s="7">
        <v>19.064578000000001</v>
      </c>
    </row>
    <row r="426" spans="1:2">
      <c r="A426" s="4">
        <v>36373</v>
      </c>
      <c r="B426" s="7">
        <v>19.215188000000001</v>
      </c>
    </row>
    <row r="427" spans="1:2">
      <c r="A427" s="4">
        <v>36404</v>
      </c>
      <c r="B427" s="7">
        <v>19.370830999999999</v>
      </c>
    </row>
    <row r="428" spans="1:2">
      <c r="A428" s="4">
        <v>36434</v>
      </c>
      <c r="B428" s="7">
        <v>19.461873000000001</v>
      </c>
    </row>
    <row r="429" spans="1:2">
      <c r="A429" s="4">
        <v>36465</v>
      </c>
      <c r="B429" s="7">
        <v>19.617567000000001</v>
      </c>
    </row>
    <row r="430" spans="1:2">
      <c r="A430" s="4">
        <v>36495</v>
      </c>
      <c r="B430" s="7">
        <v>19.811779999999999</v>
      </c>
    </row>
    <row r="431" spans="1:2">
      <c r="A431" s="4">
        <v>36526</v>
      </c>
      <c r="B431" s="7">
        <v>19.992066999999999</v>
      </c>
    </row>
    <row r="432" spans="1:2">
      <c r="A432" s="4">
        <v>36557</v>
      </c>
      <c r="B432" s="7">
        <v>20.122015000000001</v>
      </c>
    </row>
    <row r="433" spans="1:2">
      <c r="A433" s="4">
        <v>36586</v>
      </c>
      <c r="B433" s="7">
        <v>20.190429000000002</v>
      </c>
    </row>
    <row r="434" spans="1:2">
      <c r="A434" s="4">
        <v>36617</v>
      </c>
      <c r="B434" s="7">
        <v>20.208600000000001</v>
      </c>
    </row>
    <row r="435" spans="1:2">
      <c r="A435" s="4">
        <v>36647</v>
      </c>
      <c r="B435" s="7">
        <v>20.30358</v>
      </c>
    </row>
    <row r="436" spans="1:2">
      <c r="A436" s="4">
        <v>36678</v>
      </c>
      <c r="B436" s="7">
        <v>20.321853000000001</v>
      </c>
    </row>
    <row r="437" spans="1:2">
      <c r="A437" s="4">
        <v>36708</v>
      </c>
      <c r="B437" s="7">
        <v>20.33811</v>
      </c>
    </row>
    <row r="438" spans="1:2">
      <c r="A438" s="4">
        <v>36739</v>
      </c>
      <c r="B438" s="7">
        <v>20.496746999999999</v>
      </c>
    </row>
    <row r="439" spans="1:2">
      <c r="A439" s="4">
        <v>36770</v>
      </c>
      <c r="B439" s="7">
        <v>20.904631999999999</v>
      </c>
    </row>
    <row r="440" spans="1:2">
      <c r="A440" s="4">
        <v>36800</v>
      </c>
      <c r="B440" s="7">
        <v>20.998702000000002</v>
      </c>
    </row>
    <row r="441" spans="1:2">
      <c r="A441" s="4">
        <v>36831</v>
      </c>
      <c r="B441" s="7">
        <v>21.036498999999999</v>
      </c>
    </row>
    <row r="442" spans="1:2">
      <c r="A442" s="4">
        <v>36861</v>
      </c>
      <c r="B442" s="7">
        <v>21.072261000000001</v>
      </c>
    </row>
    <row r="443" spans="1:2">
      <c r="A443" s="4">
        <v>36892</v>
      </c>
      <c r="B443" s="7">
        <v>21.198694</v>
      </c>
    </row>
    <row r="444" spans="1:2">
      <c r="A444" s="4">
        <v>36923</v>
      </c>
      <c r="B444" s="7">
        <v>21.332245</v>
      </c>
    </row>
    <row r="445" spans="1:2">
      <c r="A445" s="4">
        <v>36951</v>
      </c>
      <c r="B445" s="7">
        <v>21.438905999999999</v>
      </c>
    </row>
    <row r="446" spans="1:2">
      <c r="A446" s="4">
        <v>36982</v>
      </c>
      <c r="B446" s="7">
        <v>21.516086000000001</v>
      </c>
    </row>
    <row r="447" spans="1:2">
      <c r="A447" s="4">
        <v>37012</v>
      </c>
      <c r="B447" s="7">
        <v>21.623666</v>
      </c>
    </row>
    <row r="448" spans="1:2">
      <c r="A448" s="4">
        <v>37043</v>
      </c>
      <c r="B448" s="7">
        <v>21.729621000000002</v>
      </c>
    </row>
    <row r="449" spans="1:2">
      <c r="A449" s="4">
        <v>37073</v>
      </c>
      <c r="B449" s="7">
        <v>21.812193000000001</v>
      </c>
    </row>
    <row r="450" spans="1:2">
      <c r="A450" s="4">
        <v>37104</v>
      </c>
      <c r="B450" s="7">
        <v>22.017226999999998</v>
      </c>
    </row>
    <row r="451" spans="1:2">
      <c r="A451" s="4">
        <v>37135</v>
      </c>
      <c r="B451" s="7">
        <v>22.27703</v>
      </c>
    </row>
    <row r="452" spans="1:2">
      <c r="A452" s="4">
        <v>37165</v>
      </c>
      <c r="B452" s="7">
        <v>22.361681999999998</v>
      </c>
    </row>
    <row r="453" spans="1:2">
      <c r="A453" s="4">
        <v>37196</v>
      </c>
      <c r="B453" s="7">
        <v>22.444420000000001</v>
      </c>
    </row>
    <row r="454" spans="1:2">
      <c r="A454" s="4">
        <v>37226</v>
      </c>
      <c r="B454" s="7">
        <v>22.666619000000001</v>
      </c>
    </row>
    <row r="455" spans="1:2">
      <c r="A455" s="4">
        <v>37257</v>
      </c>
      <c r="B455" s="7">
        <v>22.791284999999998</v>
      </c>
    </row>
    <row r="456" spans="1:2">
      <c r="A456" s="4">
        <v>37288</v>
      </c>
      <c r="B456" s="7">
        <v>22.932590000000001</v>
      </c>
    </row>
    <row r="457" spans="1:2">
      <c r="A457" s="4">
        <v>37316</v>
      </c>
      <c r="B457" s="7">
        <v>23.033493</v>
      </c>
    </row>
    <row r="458" spans="1:2">
      <c r="A458" s="4">
        <v>37347</v>
      </c>
      <c r="B458" s="7">
        <v>23.125626</v>
      </c>
    </row>
    <row r="459" spans="1:2">
      <c r="A459" s="4">
        <v>37377</v>
      </c>
      <c r="B459" s="7">
        <v>23.306004999999999</v>
      </c>
    </row>
    <row r="460" spans="1:2">
      <c r="A460" s="4">
        <v>37408</v>
      </c>
      <c r="B460" s="7">
        <v>23.403890000000001</v>
      </c>
    </row>
    <row r="461" spans="1:2">
      <c r="A461" s="4">
        <v>37438</v>
      </c>
      <c r="B461" s="7">
        <v>23.481121999999999</v>
      </c>
    </row>
    <row r="462" spans="1:2">
      <c r="A462" s="4">
        <v>37469</v>
      </c>
      <c r="B462" s="7">
        <v>23.661926000000001</v>
      </c>
    </row>
    <row r="463" spans="1:2">
      <c r="A463" s="4">
        <v>37500</v>
      </c>
      <c r="B463" s="7">
        <v>23.898544999999999</v>
      </c>
    </row>
    <row r="464" spans="1:2">
      <c r="A464" s="4">
        <v>37530</v>
      </c>
      <c r="B464" s="7">
        <v>24.046714999999999</v>
      </c>
    </row>
    <row r="465" spans="1:2">
      <c r="A465" s="4">
        <v>37561</v>
      </c>
      <c r="B465" s="7">
        <v>24.263134999999998</v>
      </c>
    </row>
    <row r="466" spans="1:2">
      <c r="A466" s="4">
        <v>37591</v>
      </c>
      <c r="B466" s="7">
        <v>24.767807999999999</v>
      </c>
    </row>
    <row r="467" spans="1:2">
      <c r="A467" s="4">
        <v>37622</v>
      </c>
      <c r="B467" s="7">
        <v>25.523226000000001</v>
      </c>
    </row>
    <row r="468" spans="1:2">
      <c r="A468" s="4">
        <v>37653</v>
      </c>
      <c r="B468" s="7">
        <v>26.028585</v>
      </c>
    </row>
    <row r="469" spans="1:2">
      <c r="A469" s="4">
        <v>37681</v>
      </c>
      <c r="B469" s="7">
        <v>26.598610999999998</v>
      </c>
    </row>
    <row r="470" spans="1:2">
      <c r="A470" s="4">
        <v>37712</v>
      </c>
      <c r="B470" s="7">
        <v>26.901834999999998</v>
      </c>
    </row>
    <row r="471" spans="1:2">
      <c r="A471" s="4">
        <v>37742</v>
      </c>
      <c r="B471" s="7">
        <v>27.208514999999998</v>
      </c>
    </row>
    <row r="472" spans="1:2">
      <c r="A472" s="4">
        <v>37773</v>
      </c>
      <c r="B472" s="7">
        <v>27.439786999999999</v>
      </c>
    </row>
    <row r="473" spans="1:2">
      <c r="A473" s="4">
        <v>37803</v>
      </c>
      <c r="B473" s="7">
        <v>27.500153999999998</v>
      </c>
    </row>
    <row r="474" spans="1:2">
      <c r="A474" s="4">
        <v>37834</v>
      </c>
      <c r="B474" s="7">
        <v>27.450652999999999</v>
      </c>
    </row>
    <row r="475" spans="1:2">
      <c r="A475" s="4">
        <v>37865</v>
      </c>
      <c r="B475" s="7">
        <v>27.524768999999999</v>
      </c>
    </row>
    <row r="476" spans="1:2">
      <c r="A476" s="4">
        <v>37895</v>
      </c>
      <c r="B476" s="7">
        <v>27.681660000000001</v>
      </c>
    </row>
    <row r="477" spans="1:2">
      <c r="A477" s="4">
        <v>37926</v>
      </c>
      <c r="B477" s="7">
        <v>27.864357999999999</v>
      </c>
    </row>
    <row r="478" spans="1:2">
      <c r="A478" s="4">
        <v>37956</v>
      </c>
      <c r="B478" s="7">
        <v>27.911726999999999</v>
      </c>
    </row>
    <row r="479" spans="1:2">
      <c r="A479" s="4">
        <v>37987</v>
      </c>
      <c r="B479" s="7">
        <v>28.040120000000002</v>
      </c>
    </row>
    <row r="480" spans="1:2">
      <c r="A480" s="4">
        <v>38018</v>
      </c>
      <c r="B480" s="7">
        <v>28.230792000000001</v>
      </c>
    </row>
    <row r="481" spans="1:2">
      <c r="A481" s="4">
        <v>38047</v>
      </c>
      <c r="B481" s="7">
        <v>28.484869</v>
      </c>
    </row>
    <row r="482" spans="1:2">
      <c r="A482" s="4">
        <v>38078</v>
      </c>
      <c r="B482" s="7">
        <v>28.598807999999998</v>
      </c>
    </row>
    <row r="483" spans="1:2">
      <c r="A483" s="4">
        <v>38108</v>
      </c>
      <c r="B483" s="7">
        <v>28.658864999999999</v>
      </c>
    </row>
    <row r="484" spans="1:2">
      <c r="A484" s="4">
        <v>38139</v>
      </c>
      <c r="B484" s="7">
        <v>28.813621999999999</v>
      </c>
    </row>
    <row r="485" spans="1:2">
      <c r="A485" s="4">
        <v>38169</v>
      </c>
      <c r="B485" s="7">
        <v>28.974978</v>
      </c>
    </row>
    <row r="486" spans="1:2">
      <c r="A486" s="4">
        <v>38200</v>
      </c>
      <c r="B486" s="7">
        <v>29.244444999999999</v>
      </c>
    </row>
    <row r="487" spans="1:2">
      <c r="A487" s="4">
        <v>38231</v>
      </c>
      <c r="B487" s="7">
        <v>29.475476</v>
      </c>
    </row>
    <row r="488" spans="1:2">
      <c r="A488" s="4">
        <v>38261</v>
      </c>
      <c r="B488" s="7">
        <v>29.619904999999999</v>
      </c>
    </row>
    <row r="489" spans="1:2">
      <c r="A489" s="4">
        <v>38292</v>
      </c>
      <c r="B489" s="7">
        <v>29.714687999999999</v>
      </c>
    </row>
    <row r="490" spans="1:2">
      <c r="A490" s="4">
        <v>38322</v>
      </c>
      <c r="B490" s="7">
        <v>29.901890000000002</v>
      </c>
    </row>
    <row r="491" spans="1:2">
      <c r="A491" s="4">
        <v>38353</v>
      </c>
      <c r="B491" s="7">
        <v>30.153065000000002</v>
      </c>
    </row>
    <row r="492" spans="1:2">
      <c r="A492" s="4">
        <v>38384</v>
      </c>
      <c r="B492" s="7">
        <v>30.358104999999998</v>
      </c>
    </row>
    <row r="493" spans="1:2">
      <c r="A493" s="4">
        <v>38412</v>
      </c>
      <c r="B493" s="7">
        <v>30.582754000000001</v>
      </c>
    </row>
    <row r="494" spans="1:2">
      <c r="A494" s="4">
        <v>38443</v>
      </c>
      <c r="B494" s="7">
        <v>30.689793000000002</v>
      </c>
    </row>
    <row r="495" spans="1:2">
      <c r="A495" s="4">
        <v>38473</v>
      </c>
      <c r="B495" s="7">
        <v>30.916896999999999</v>
      </c>
    </row>
    <row r="496" spans="1:2">
      <c r="A496" s="4">
        <v>38504</v>
      </c>
      <c r="B496" s="7">
        <v>31.173507000000001</v>
      </c>
    </row>
    <row r="497" spans="1:2">
      <c r="A497" s="4">
        <v>38534</v>
      </c>
      <c r="B497" s="7">
        <v>31.210915</v>
      </c>
    </row>
    <row r="498" spans="1:2">
      <c r="A498" s="4">
        <v>38565</v>
      </c>
      <c r="B498" s="7">
        <v>31.245246999999999</v>
      </c>
    </row>
    <row r="499" spans="1:2">
      <c r="A499" s="4">
        <v>38596</v>
      </c>
      <c r="B499" s="7">
        <v>31.332733000000001</v>
      </c>
    </row>
    <row r="500" spans="1:2">
      <c r="A500" s="4">
        <v>38626</v>
      </c>
      <c r="B500" s="7">
        <v>31.382864999999999</v>
      </c>
    </row>
    <row r="501" spans="1:2">
      <c r="A501" s="4">
        <v>38657</v>
      </c>
      <c r="B501" s="7">
        <v>31.558609000000001</v>
      </c>
    </row>
    <row r="502" spans="1:2">
      <c r="A502" s="4">
        <v>38687</v>
      </c>
      <c r="B502" s="7">
        <v>31.804766000000001</v>
      </c>
    </row>
    <row r="503" spans="1:2">
      <c r="A503" s="4">
        <v>38718</v>
      </c>
      <c r="B503" s="7">
        <v>31.925623999999999</v>
      </c>
    </row>
    <row r="504" spans="1:2">
      <c r="A504" s="4">
        <v>38749</v>
      </c>
      <c r="B504" s="7">
        <v>32.088444000000003</v>
      </c>
    </row>
    <row r="505" spans="1:2">
      <c r="A505" s="4">
        <v>38777</v>
      </c>
      <c r="B505" s="7">
        <v>32.255302999999998</v>
      </c>
    </row>
    <row r="506" spans="1:2">
      <c r="A506" s="4">
        <v>38808</v>
      </c>
      <c r="B506" s="7">
        <v>32.374647000000003</v>
      </c>
    </row>
    <row r="507" spans="1:2">
      <c r="A507" s="4">
        <v>38838</v>
      </c>
      <c r="B507" s="7">
        <v>32.429682999999997</v>
      </c>
    </row>
    <row r="508" spans="1:2">
      <c r="A508" s="4">
        <v>38869</v>
      </c>
      <c r="B508" s="7">
        <v>32.517243000000001</v>
      </c>
    </row>
    <row r="509" spans="1:2">
      <c r="A509" s="4">
        <v>38899</v>
      </c>
      <c r="B509" s="7">
        <v>32.468466999999997</v>
      </c>
    </row>
    <row r="510" spans="1:2">
      <c r="A510" s="4">
        <v>38930</v>
      </c>
      <c r="B510" s="7">
        <v>32.461973</v>
      </c>
    </row>
    <row r="511" spans="1:2">
      <c r="A511" s="4">
        <v>38961</v>
      </c>
      <c r="B511" s="7">
        <v>32.523650000000004</v>
      </c>
    </row>
    <row r="512" spans="1:2">
      <c r="A512" s="4">
        <v>38991</v>
      </c>
      <c r="B512" s="7">
        <v>32.539910999999996</v>
      </c>
    </row>
    <row r="513" spans="1:2">
      <c r="A513" s="4">
        <v>39022</v>
      </c>
      <c r="B513" s="7">
        <v>32.634276</v>
      </c>
    </row>
    <row r="514" spans="1:2">
      <c r="A514" s="4">
        <v>39052</v>
      </c>
      <c r="B514" s="7">
        <v>32.755021999999997</v>
      </c>
    </row>
    <row r="515" spans="1:2">
      <c r="A515" s="4">
        <v>39083</v>
      </c>
      <c r="B515" s="7">
        <v>32.869664</v>
      </c>
    </row>
    <row r="516" spans="1:2">
      <c r="A516" s="4">
        <v>39114</v>
      </c>
      <c r="B516" s="7">
        <v>33.040585999999998</v>
      </c>
    </row>
    <row r="517" spans="1:2">
      <c r="A517" s="4">
        <v>39142</v>
      </c>
      <c r="B517" s="7">
        <v>33.192571999999998</v>
      </c>
    </row>
    <row r="518" spans="1:2">
      <c r="A518" s="4">
        <v>39173</v>
      </c>
      <c r="B518" s="7">
        <v>33.328660999999997</v>
      </c>
    </row>
    <row r="519" spans="1:2">
      <c r="A519" s="4">
        <v>39203</v>
      </c>
      <c r="B519" s="7">
        <v>33.401983999999999</v>
      </c>
    </row>
    <row r="520" spans="1:2">
      <c r="A520" s="4">
        <v>39234</v>
      </c>
      <c r="B520" s="7">
        <v>33.488829000000003</v>
      </c>
    </row>
    <row r="521" spans="1:2">
      <c r="A521" s="4">
        <v>39264</v>
      </c>
      <c r="B521" s="7">
        <v>33.585946</v>
      </c>
    </row>
    <row r="522" spans="1:2">
      <c r="A522" s="4">
        <v>39295</v>
      </c>
      <c r="B522" s="7">
        <v>33.666552000000003</v>
      </c>
    </row>
    <row r="523" spans="1:2">
      <c r="A523" s="4">
        <v>39326</v>
      </c>
      <c r="B523" s="7">
        <v>33.807951000000003</v>
      </c>
    </row>
    <row r="524" spans="1:2">
      <c r="A524" s="4">
        <v>39356</v>
      </c>
      <c r="B524" s="7">
        <v>33.905994</v>
      </c>
    </row>
    <row r="525" spans="1:2">
      <c r="A525" s="4">
        <v>39387</v>
      </c>
      <c r="B525" s="7">
        <v>33.987367999999996</v>
      </c>
    </row>
    <row r="526" spans="1:2">
      <c r="A526" s="4">
        <v>39417</v>
      </c>
      <c r="B526" s="7">
        <v>34.065537999999997</v>
      </c>
    </row>
    <row r="527" spans="1:2">
      <c r="A527" s="4">
        <v>39448</v>
      </c>
      <c r="B527" s="7">
        <v>34.303995999999998</v>
      </c>
    </row>
    <row r="528" spans="1:2">
      <c r="A528" s="4">
        <v>39479</v>
      </c>
      <c r="B528" s="7">
        <v>34.544122999999999</v>
      </c>
    </row>
    <row r="529" spans="1:2">
      <c r="A529" s="4">
        <v>39508</v>
      </c>
      <c r="B529" s="7">
        <v>34.765205000000002</v>
      </c>
    </row>
    <row r="530" spans="1:2">
      <c r="A530" s="4">
        <v>39539</v>
      </c>
      <c r="B530" s="7">
        <v>34.845163999999997</v>
      </c>
    </row>
    <row r="531" spans="1:2">
      <c r="A531" s="4">
        <v>39569</v>
      </c>
      <c r="B531" s="7">
        <v>35.050750000000001</v>
      </c>
    </row>
    <row r="532" spans="1:2">
      <c r="A532" s="4">
        <v>39600</v>
      </c>
      <c r="B532" s="7">
        <v>35.247033999999999</v>
      </c>
    </row>
    <row r="533" spans="1:2">
      <c r="A533" s="4">
        <v>39630</v>
      </c>
      <c r="B533" s="7">
        <v>35.564256999999998</v>
      </c>
    </row>
    <row r="534" spans="1:2">
      <c r="A534" s="4">
        <v>39661</v>
      </c>
      <c r="B534" s="7">
        <v>35.788311</v>
      </c>
    </row>
    <row r="535" spans="1:2">
      <c r="A535" s="4">
        <v>39692</v>
      </c>
      <c r="B535" s="7">
        <v>35.91357</v>
      </c>
    </row>
    <row r="536" spans="1:2">
      <c r="A536" s="4">
        <v>39722</v>
      </c>
      <c r="B536" s="7">
        <v>36.006945000000002</v>
      </c>
    </row>
    <row r="537" spans="1:2">
      <c r="A537" s="4">
        <v>39753</v>
      </c>
      <c r="B537" s="7">
        <v>36.114964999999998</v>
      </c>
    </row>
    <row r="538" spans="1:2">
      <c r="A538" s="4">
        <v>39783</v>
      </c>
      <c r="B538" s="7">
        <v>36.291927999999999</v>
      </c>
    </row>
    <row r="539" spans="1:2">
      <c r="A539" s="4">
        <v>39814</v>
      </c>
      <c r="B539" s="7">
        <v>36.397174</v>
      </c>
    </row>
    <row r="540" spans="1:2">
      <c r="A540" s="4">
        <v>39845</v>
      </c>
      <c r="B540" s="7">
        <v>36.542762000000003</v>
      </c>
    </row>
    <row r="541" spans="1:2">
      <c r="A541" s="4">
        <v>39873</v>
      </c>
      <c r="B541" s="7">
        <v>36.772981000000001</v>
      </c>
    </row>
    <row r="542" spans="1:2">
      <c r="A542" s="4">
        <v>39904</v>
      </c>
      <c r="B542" s="7">
        <v>36.813431000000001</v>
      </c>
    </row>
    <row r="543" spans="1:2">
      <c r="A543" s="4">
        <v>39934</v>
      </c>
      <c r="B543" s="7">
        <v>36.945959000000002</v>
      </c>
    </row>
    <row r="544" spans="1:2">
      <c r="A544" s="4">
        <v>39965</v>
      </c>
      <c r="B544" s="7">
        <v>37.163939999999997</v>
      </c>
    </row>
    <row r="545" spans="1:2">
      <c r="A545" s="4">
        <v>39995</v>
      </c>
      <c r="B545" s="7">
        <v>37.305162000000003</v>
      </c>
    </row>
    <row r="546" spans="1:2">
      <c r="A546" s="4">
        <v>40026</v>
      </c>
      <c r="B546" s="7">
        <v>37.387233000000002</v>
      </c>
    </row>
    <row r="547" spans="1:2">
      <c r="A547" s="4">
        <v>40057</v>
      </c>
      <c r="B547" s="7">
        <v>37.473222999999997</v>
      </c>
    </row>
    <row r="548" spans="1:2">
      <c r="A548" s="4">
        <v>40087</v>
      </c>
      <c r="B548" s="7">
        <v>37.544421999999997</v>
      </c>
    </row>
    <row r="549" spans="1:2">
      <c r="A549" s="4">
        <v>40118</v>
      </c>
      <c r="B549" s="7">
        <v>37.612000999999999</v>
      </c>
    </row>
    <row r="550" spans="1:2">
      <c r="A550" s="4">
        <v>40148</v>
      </c>
      <c r="B550" s="7">
        <v>37.777493</v>
      </c>
    </row>
    <row r="551" spans="1:2">
      <c r="A551" s="4">
        <v>40179</v>
      </c>
      <c r="B551" s="7">
        <v>37.832898</v>
      </c>
    </row>
    <row r="552" spans="1:2">
      <c r="A552" s="4">
        <v>40210</v>
      </c>
      <c r="B552" s="7">
        <v>37.832898</v>
      </c>
    </row>
    <row r="553" spans="1:2">
      <c r="A553" s="4">
        <v>40238</v>
      </c>
      <c r="B553" s="7">
        <v>37.832898</v>
      </c>
    </row>
    <row r="554" spans="1:2">
      <c r="A554" s="4">
        <v>40269</v>
      </c>
      <c r="B554" s="7">
        <v>37.862861000000002</v>
      </c>
    </row>
    <row r="555" spans="1:2">
      <c r="A555" s="4">
        <v>40299</v>
      </c>
      <c r="B555" s="7">
        <v>37.862861000000002</v>
      </c>
    </row>
    <row r="556" spans="1:2">
      <c r="A556" s="4">
        <v>40330</v>
      </c>
      <c r="B556" s="7">
        <v>37.882171</v>
      </c>
    </row>
    <row r="557" spans="1:2">
      <c r="A557" s="4">
        <v>40360</v>
      </c>
      <c r="B557" s="7">
        <v>37.904482999999999</v>
      </c>
    </row>
    <row r="558" spans="1:2">
      <c r="A558" s="4">
        <v>40391</v>
      </c>
      <c r="B558" s="7">
        <v>37.948110999999997</v>
      </c>
    </row>
    <row r="559" spans="1:2">
      <c r="A559" s="4">
        <v>40422</v>
      </c>
      <c r="B559" s="7">
        <v>37.982605</v>
      </c>
    </row>
    <row r="560" spans="1:2">
      <c r="A560" s="4">
        <v>40452</v>
      </c>
      <c r="B560" s="7">
        <v>38.009267999999999</v>
      </c>
    </row>
    <row r="561" spans="1:2">
      <c r="A561" s="4">
        <v>40483</v>
      </c>
      <c r="B561" s="7">
        <v>38.027208000000002</v>
      </c>
    </row>
    <row r="562" spans="1:2">
      <c r="A562" s="4">
        <v>40513</v>
      </c>
      <c r="B562" s="7">
        <v>38.039985000000001</v>
      </c>
    </row>
    <row r="563" spans="1:2">
      <c r="A563" s="4">
        <v>40544</v>
      </c>
      <c r="B563" s="7">
        <v>38.093468999999999</v>
      </c>
    </row>
    <row r="564" spans="1:2">
      <c r="A564" s="4">
        <v>40575</v>
      </c>
      <c r="B564" s="7">
        <v>38.120705000000001</v>
      </c>
    </row>
    <row r="565" spans="1:2">
      <c r="A565" s="4">
        <v>40603</v>
      </c>
      <c r="B565" s="7">
        <v>38.140680000000003</v>
      </c>
    </row>
    <row r="566" spans="1:2">
      <c r="A566" s="4">
        <v>40634</v>
      </c>
      <c r="B566" s="7">
        <v>38.186906</v>
      </c>
    </row>
    <row r="567" spans="1:2">
      <c r="A567" s="4">
        <v>40664</v>
      </c>
      <c r="B567" s="7">
        <v>38.200996000000004</v>
      </c>
    </row>
    <row r="568" spans="1:2">
      <c r="A568" s="4">
        <v>40695</v>
      </c>
      <c r="B568" s="7">
        <v>38.260970999999998</v>
      </c>
    </row>
    <row r="569" spans="1:2">
      <c r="A569" s="4">
        <v>40725</v>
      </c>
      <c r="B569" s="7">
        <v>38.303592999999999</v>
      </c>
    </row>
    <row r="570" spans="1:2">
      <c r="A570" s="4">
        <v>40756</v>
      </c>
      <c r="B570" s="7">
        <v>38.350667999999999</v>
      </c>
    </row>
    <row r="571" spans="1:2">
      <c r="A571" s="4">
        <v>40787</v>
      </c>
      <c r="B571" s="7">
        <v>38.430283000000003</v>
      </c>
    </row>
    <row r="572" spans="1:2">
      <c r="A572" s="4">
        <v>40817</v>
      </c>
      <c r="B572" s="7">
        <v>38.468828000000002</v>
      </c>
    </row>
    <row r="573" spans="1:2">
      <c r="A573" s="4">
        <v>40848</v>
      </c>
      <c r="B573" s="7">
        <v>38.492677999999998</v>
      </c>
    </row>
    <row r="574" spans="1:2">
      <c r="A574" s="4">
        <v>40878</v>
      </c>
      <c r="B574" s="7">
        <v>38.517505</v>
      </c>
    </row>
    <row r="575" spans="1:2">
      <c r="A575" s="4">
        <v>40909</v>
      </c>
      <c r="B575" s="7">
        <v>38.553595000000001</v>
      </c>
    </row>
    <row r="576" spans="1:2">
      <c r="A576" s="4">
        <v>40940</v>
      </c>
      <c r="B576" s="7">
        <v>38.586905000000002</v>
      </c>
    </row>
    <row r="577" spans="1:2">
      <c r="A577" s="4">
        <v>40969</v>
      </c>
      <c r="B577" s="7">
        <v>38.586905000000002</v>
      </c>
    </row>
    <row r="578" spans="1:2">
      <c r="A578" s="4">
        <v>41000</v>
      </c>
      <c r="B578" s="7">
        <v>38.628115000000001</v>
      </c>
    </row>
    <row r="579" spans="1:2">
      <c r="A579" s="4">
        <v>41030</v>
      </c>
      <c r="B579" s="7">
        <v>38.636882999999997</v>
      </c>
    </row>
    <row r="580" spans="1:2">
      <c r="A580" s="4">
        <v>41061</v>
      </c>
      <c r="B580" s="7">
        <v>38.654964999999997</v>
      </c>
    </row>
    <row r="581" spans="1:2">
      <c r="A581" s="4">
        <v>41091</v>
      </c>
      <c r="B581" s="7">
        <v>38.654964999999997</v>
      </c>
    </row>
    <row r="582" spans="1:2">
      <c r="A582" s="4">
        <v>41122</v>
      </c>
      <c r="B582" s="7">
        <v>38.660530999999999</v>
      </c>
    </row>
    <row r="583" spans="1:2">
      <c r="A583" s="4">
        <v>41153</v>
      </c>
      <c r="B583" s="7">
        <v>38.665286000000002</v>
      </c>
    </row>
    <row r="584" spans="1:2">
      <c r="A584" s="4">
        <v>41183</v>
      </c>
      <c r="B584" s="7">
        <v>38.665286000000002</v>
      </c>
    </row>
    <row r="585" spans="1:2">
      <c r="A585" s="4">
        <v>41214</v>
      </c>
      <c r="B585" s="7">
        <v>38.665286000000002</v>
      </c>
    </row>
    <row r="586" spans="1:2">
      <c r="A586" s="4">
        <v>41244</v>
      </c>
      <c r="B586" s="7">
        <v>38.665286000000002</v>
      </c>
    </row>
    <row r="587" spans="1:2">
      <c r="A587" s="4">
        <v>41275</v>
      </c>
      <c r="B587" s="7">
        <v>38.665286000000002</v>
      </c>
    </row>
    <row r="588" spans="1:2">
      <c r="A588" s="4">
        <v>41306</v>
      </c>
      <c r="B588" s="7">
        <v>38.665286000000002</v>
      </c>
    </row>
    <row r="589" spans="1:2">
      <c r="A589" s="4">
        <v>41334</v>
      </c>
      <c r="B589" s="7">
        <v>38.665286000000002</v>
      </c>
    </row>
    <row r="590" spans="1:2">
      <c r="A590" s="4">
        <v>41365</v>
      </c>
      <c r="B590" s="7">
        <v>38.665286000000002</v>
      </c>
    </row>
    <row r="591" spans="1:2">
      <c r="A591" s="4">
        <v>41395</v>
      </c>
      <c r="B591" s="7">
        <v>38.665286000000002</v>
      </c>
    </row>
    <row r="592" spans="1:2">
      <c r="A592" s="4">
        <v>41426</v>
      </c>
      <c r="B592" s="7">
        <v>38.665286000000002</v>
      </c>
    </row>
    <row r="593" spans="1:2">
      <c r="A593" s="4">
        <v>41456</v>
      </c>
      <c r="B593" s="7">
        <v>38.665286000000002</v>
      </c>
    </row>
    <row r="594" spans="1:2">
      <c r="A594" s="4">
        <v>41487</v>
      </c>
      <c r="B594" s="7">
        <v>38.673366999999999</v>
      </c>
    </row>
    <row r="595" spans="1:2">
      <c r="A595" s="4">
        <v>41518</v>
      </c>
      <c r="B595" s="7">
        <v>38.673366999999999</v>
      </c>
    </row>
    <row r="596" spans="1:2">
      <c r="A596" s="4">
        <v>41548</v>
      </c>
      <c r="B596" s="7">
        <v>38.676422000000002</v>
      </c>
    </row>
    <row r="597" spans="1:2">
      <c r="A597" s="4">
        <v>41579</v>
      </c>
      <c r="B597" s="7">
        <v>38.712004</v>
      </c>
    </row>
    <row r="598" spans="1:2">
      <c r="A598" s="4">
        <v>41609</v>
      </c>
      <c r="B598" s="7">
        <v>38.720016999999999</v>
      </c>
    </row>
    <row r="599" spans="1:2">
      <c r="A599" s="4">
        <v>41640</v>
      </c>
      <c r="B599" s="7">
        <v>38.739144000000003</v>
      </c>
    </row>
    <row r="600" spans="1:2">
      <c r="A600" s="4">
        <v>41671</v>
      </c>
      <c r="B600" s="7">
        <v>38.782764</v>
      </c>
    </row>
    <row r="601" spans="1:2">
      <c r="A601" s="4">
        <v>41699</v>
      </c>
      <c r="B601" s="7">
        <v>38.80359</v>
      </c>
    </row>
    <row r="602" spans="1:2">
      <c r="A602" s="4">
        <v>41730</v>
      </c>
      <c r="B602" s="7">
        <v>38.813910999999997</v>
      </c>
    </row>
    <row r="603" spans="1:2">
      <c r="A603" s="4">
        <v>41760</v>
      </c>
      <c r="B603" s="7">
        <v>38.831726000000003</v>
      </c>
    </row>
    <row r="604" spans="1:2">
      <c r="A604" s="4">
        <v>41791</v>
      </c>
      <c r="B604" s="7">
        <v>38.855179999999997</v>
      </c>
    </row>
    <row r="605" spans="1:2">
      <c r="A605" s="4">
        <v>41821</v>
      </c>
      <c r="B605" s="7">
        <v>38.873246999999999</v>
      </c>
    </row>
    <row r="606" spans="1:2">
      <c r="A606" s="4">
        <v>41852</v>
      </c>
      <c r="B606" s="7">
        <v>38.914219000000003</v>
      </c>
    </row>
    <row r="607" spans="1:2">
      <c r="A607" s="4">
        <v>41883</v>
      </c>
      <c r="B607" s="7">
        <v>38.937645000000003</v>
      </c>
    </row>
    <row r="608" spans="1:2">
      <c r="A608" s="4">
        <v>41913</v>
      </c>
      <c r="B608" s="7">
        <v>38.971637000000001</v>
      </c>
    </row>
    <row r="609" spans="1:2">
      <c r="A609" s="4">
        <v>41944</v>
      </c>
      <c r="B609" s="7">
        <v>39.012089000000003</v>
      </c>
    </row>
    <row r="610" spans="1:2">
      <c r="A610" s="4">
        <v>41974</v>
      </c>
      <c r="B610" s="7">
        <v>39.030931000000002</v>
      </c>
    </row>
    <row r="611" spans="1:2">
      <c r="A611" s="4">
        <v>42005</v>
      </c>
      <c r="B611" s="7">
        <v>39.072029999999998</v>
      </c>
    </row>
    <row r="612" spans="1:2">
      <c r="A612" s="4">
        <v>42036</v>
      </c>
      <c r="B612" s="7">
        <v>39.106335000000001</v>
      </c>
    </row>
    <row r="613" spans="1:2">
      <c r="A613" s="4">
        <v>42064</v>
      </c>
      <c r="B613" s="7">
        <v>39.112904</v>
      </c>
    </row>
    <row r="614" spans="1:2">
      <c r="A614" s="4">
        <v>42095</v>
      </c>
      <c r="B614" s="7">
        <v>39.248247999999997</v>
      </c>
    </row>
    <row r="615" spans="1:2">
      <c r="A615" s="4">
        <v>42125</v>
      </c>
      <c r="B615" s="7">
        <v>39.668204000000003</v>
      </c>
    </row>
    <row r="616" spans="1:2">
      <c r="A616" s="4">
        <v>42156</v>
      </c>
      <c r="B616" s="7">
        <v>39.906213000000001</v>
      </c>
    </row>
    <row r="617" spans="1:2">
      <c r="A617" s="4">
        <v>42186</v>
      </c>
      <c r="B617" s="7">
        <v>40.301284000000003</v>
      </c>
    </row>
    <row r="618" spans="1:2">
      <c r="A618" s="4">
        <v>42217</v>
      </c>
      <c r="B618" s="7">
        <v>40.539060999999997</v>
      </c>
    </row>
    <row r="619" spans="1:2">
      <c r="A619" s="4">
        <v>42248</v>
      </c>
      <c r="B619" s="7">
        <v>40.713377999999999</v>
      </c>
    </row>
    <row r="620" spans="1:2">
      <c r="A620" s="4">
        <v>42278</v>
      </c>
      <c r="B620" s="7">
        <v>40.872160000000001</v>
      </c>
    </row>
    <row r="621" spans="1:2">
      <c r="A621" s="4">
        <v>42309</v>
      </c>
      <c r="B621" s="7">
        <v>41.141916000000002</v>
      </c>
    </row>
    <row r="622" spans="1:2">
      <c r="A622" s="4">
        <v>42339</v>
      </c>
      <c r="B622" s="7">
        <v>41.491622</v>
      </c>
    </row>
    <row r="623" spans="1:2">
      <c r="A623" s="4">
        <v>42370</v>
      </c>
      <c r="B623" s="7">
        <v>41.981223</v>
      </c>
    </row>
    <row r="624" spans="1:2">
      <c r="A624" s="4">
        <v>42401</v>
      </c>
      <c r="B624" s="7">
        <v>42.367449999999998</v>
      </c>
    </row>
    <row r="625" spans="1:2">
      <c r="A625" s="4">
        <v>42430</v>
      </c>
      <c r="B625" s="7">
        <v>42.969067000000003</v>
      </c>
    </row>
    <row r="626" spans="1:2">
      <c r="A626" s="4">
        <v>42461</v>
      </c>
      <c r="B626" s="7">
        <v>43.153832999999999</v>
      </c>
    </row>
    <row r="627" spans="1:2">
      <c r="A627" s="4">
        <v>42491</v>
      </c>
      <c r="B627" s="7">
        <v>43.373916999999999</v>
      </c>
    </row>
    <row r="628" spans="1:2">
      <c r="A628" s="4">
        <v>42522</v>
      </c>
      <c r="B628" s="7">
        <v>43.746932000000001</v>
      </c>
    </row>
    <row r="629" spans="1:2">
      <c r="A629" s="4">
        <v>42552</v>
      </c>
      <c r="B629" s="7">
        <v>43.921919000000003</v>
      </c>
    </row>
    <row r="630" spans="1:2">
      <c r="A630" s="4">
        <v>42583</v>
      </c>
      <c r="B630" s="7">
        <v>44.159097000000003</v>
      </c>
    </row>
    <row r="631" spans="1:2">
      <c r="A631" s="4">
        <v>42614</v>
      </c>
      <c r="B631" s="7">
        <v>44.357812000000003</v>
      </c>
    </row>
    <row r="632" spans="1:2">
      <c r="A632" s="4">
        <v>42644</v>
      </c>
      <c r="B632" s="7">
        <v>44.459834000000001</v>
      </c>
    </row>
    <row r="633" spans="1:2">
      <c r="A633" s="4">
        <v>42675</v>
      </c>
      <c r="B633" s="7">
        <v>44.544307000000003</v>
      </c>
    </row>
    <row r="634" spans="1:2">
      <c r="A634" s="4">
        <v>42705</v>
      </c>
      <c r="B634" s="7">
        <v>44.660122000000001</v>
      </c>
    </row>
    <row r="635" spans="1:2">
      <c r="A635" s="4">
        <v>42736</v>
      </c>
      <c r="B635" s="7">
        <v>44.744976000000001</v>
      </c>
    </row>
    <row r="636" spans="1:2">
      <c r="A636" s="4">
        <v>42767</v>
      </c>
      <c r="B636" s="7">
        <v>44.883685</v>
      </c>
    </row>
    <row r="637" spans="1:2">
      <c r="A637" s="4">
        <v>42795</v>
      </c>
      <c r="B637" s="7">
        <v>45.126055999999998</v>
      </c>
    </row>
    <row r="638" spans="1:2">
      <c r="A638" s="4">
        <v>42826</v>
      </c>
      <c r="B638" s="7">
        <v>45.193745</v>
      </c>
    </row>
    <row r="639" spans="1:2">
      <c r="A639" s="4">
        <v>42856</v>
      </c>
      <c r="B639" s="7">
        <v>45.288651000000002</v>
      </c>
    </row>
    <row r="640" spans="1:2">
      <c r="A640" s="4">
        <v>42887</v>
      </c>
      <c r="B640" s="7">
        <v>45.397342999999999</v>
      </c>
    </row>
    <row r="641" spans="1:2">
      <c r="A641" s="4">
        <v>42917</v>
      </c>
      <c r="B641" s="7">
        <v>45.469977999999998</v>
      </c>
    </row>
    <row r="642" spans="1:2">
      <c r="A642" s="4">
        <v>42948</v>
      </c>
      <c r="B642" s="7">
        <v>45.388131999999999</v>
      </c>
    </row>
    <row r="643" spans="1:2">
      <c r="A643" s="4">
        <v>42979</v>
      </c>
      <c r="B643" s="7">
        <v>45.546990000000001</v>
      </c>
    </row>
    <row r="644" spans="1:2">
      <c r="A644" s="4">
        <v>43009</v>
      </c>
      <c r="B644" s="7">
        <v>45.597090999999999</v>
      </c>
    </row>
    <row r="645" spans="1:2">
      <c r="A645" s="4">
        <v>43040</v>
      </c>
      <c r="B645" s="7">
        <v>45.752121000000002</v>
      </c>
    </row>
    <row r="646" spans="1:2">
      <c r="A646" s="4">
        <v>43070</v>
      </c>
      <c r="B646" s="7">
        <v>45.898527000000001</v>
      </c>
    </row>
    <row r="647" spans="1:2">
      <c r="A647" s="4">
        <v>43101</v>
      </c>
      <c r="B647" s="7">
        <v>46.059170999999999</v>
      </c>
    </row>
    <row r="648" spans="1:2">
      <c r="A648" s="4">
        <v>43132</v>
      </c>
      <c r="B648" s="7">
        <v>46.238801000000002</v>
      </c>
    </row>
    <row r="649" spans="1:2">
      <c r="A649" s="4">
        <v>43160</v>
      </c>
      <c r="B649" s="7">
        <v>46.414507999999998</v>
      </c>
    </row>
    <row r="650" spans="1:2">
      <c r="A650" s="4">
        <v>43191</v>
      </c>
      <c r="B650" s="7">
        <v>46.460921999999997</v>
      </c>
    </row>
    <row r="651" spans="1:2">
      <c r="A651" s="4">
        <v>43221</v>
      </c>
      <c r="B651" s="7">
        <v>46.558489000000002</v>
      </c>
    </row>
    <row r="652" spans="1:2">
      <c r="A652" s="4">
        <v>43252</v>
      </c>
      <c r="B652" s="7">
        <v>46.623669999999997</v>
      </c>
    </row>
    <row r="653" spans="1:2">
      <c r="A653" s="4">
        <v>43282</v>
      </c>
      <c r="B653" s="7">
        <v>47.141191999999997</v>
      </c>
    </row>
    <row r="654" spans="1:2">
      <c r="A654" s="4">
        <v>43313</v>
      </c>
      <c r="B654" s="7">
        <v>47.442895</v>
      </c>
    </row>
    <row r="655" spans="1:2">
      <c r="A655" s="4">
        <v>43344</v>
      </c>
      <c r="B655" s="7">
        <v>47.504570000000001</v>
      </c>
    </row>
    <row r="656" spans="1:2">
      <c r="A656" s="4">
        <v>43374</v>
      </c>
      <c r="B656" s="7">
        <v>47.547324000000003</v>
      </c>
    </row>
    <row r="657" spans="1:2">
      <c r="A657" s="4">
        <v>43405</v>
      </c>
      <c r="B657" s="7">
        <v>47.823098000000002</v>
      </c>
    </row>
    <row r="658" spans="1:2">
      <c r="A658" s="4">
        <v>43435</v>
      </c>
      <c r="B658" s="7">
        <v>47.913961</v>
      </c>
    </row>
    <row r="659" spans="1:2">
      <c r="A659" s="4">
        <v>43466</v>
      </c>
      <c r="B659" s="7">
        <v>47.837297999999997</v>
      </c>
    </row>
    <row r="660" spans="1:2">
      <c r="A660" s="4">
        <v>43497</v>
      </c>
      <c r="B660" s="7">
        <v>47.980809000000001</v>
      </c>
    </row>
    <row r="661" spans="1:2">
      <c r="A661" s="4">
        <v>43525</v>
      </c>
      <c r="B661" s="7">
        <v>48.143943</v>
      </c>
    </row>
    <row r="662" spans="1:2">
      <c r="A662" s="4">
        <v>43556</v>
      </c>
      <c r="B662" s="7">
        <v>48.403919999999999</v>
      </c>
    </row>
    <row r="663" spans="1:2">
      <c r="A663" s="4">
        <v>43586</v>
      </c>
      <c r="B663" s="7">
        <v>48.752428000000002</v>
      </c>
    </row>
    <row r="664" spans="1:2">
      <c r="A664" s="4">
        <v>43617</v>
      </c>
      <c r="B664" s="7">
        <v>48.923060999999997</v>
      </c>
    </row>
    <row r="665" spans="1:2">
      <c r="A665" s="4">
        <v>43647</v>
      </c>
      <c r="B665" s="7">
        <v>48.952413999999997</v>
      </c>
    </row>
    <row r="666" spans="1:2">
      <c r="A666" s="4">
        <v>43678</v>
      </c>
      <c r="B666" s="7">
        <v>48.996471</v>
      </c>
    </row>
    <row r="667" spans="1:2">
      <c r="A667" s="4">
        <v>43709</v>
      </c>
      <c r="B667" s="7">
        <v>49.035668000000001</v>
      </c>
    </row>
    <row r="668" spans="1:2">
      <c r="A668" s="4">
        <v>43739</v>
      </c>
      <c r="B668" s="7">
        <v>49.079799999999999</v>
      </c>
    </row>
    <row r="669" spans="1:2">
      <c r="A669" s="4">
        <v>43770</v>
      </c>
      <c r="B669" s="7">
        <v>49.123970999999997</v>
      </c>
    </row>
    <row r="670" spans="1:2">
      <c r="A670" s="4">
        <v>43800</v>
      </c>
      <c r="B670" s="7">
        <v>49.192743999999998</v>
      </c>
    </row>
    <row r="671" spans="1:2">
      <c r="A671" s="4">
        <v>43831</v>
      </c>
      <c r="B671" s="7">
        <v>49.709266999999997</v>
      </c>
    </row>
    <row r="672" spans="1:2">
      <c r="A672" s="4">
        <v>43862</v>
      </c>
      <c r="B672" s="7">
        <v>50.062201999999999</v>
      </c>
    </row>
    <row r="673" spans="1:6">
      <c r="A673" s="4">
        <v>43891</v>
      </c>
      <c r="B673" s="7">
        <v>50.172338000000003</v>
      </c>
    </row>
    <row r="674" spans="1:6">
      <c r="A674" s="4">
        <v>43922</v>
      </c>
      <c r="B674" s="7">
        <v>50.182372000000001</v>
      </c>
    </row>
    <row r="675" spans="1:6">
      <c r="A675" s="4">
        <v>43952</v>
      </c>
      <c r="B675" s="7">
        <v>50.177352999999997</v>
      </c>
    </row>
    <row r="676" spans="1:6">
      <c r="A676" s="4">
        <v>43983</v>
      </c>
      <c r="B676" s="7">
        <v>49.881306000000002</v>
      </c>
    </row>
    <row r="677" spans="1:6">
      <c r="A677" s="4">
        <v>44013</v>
      </c>
      <c r="B677" s="7">
        <v>49.891281999999997</v>
      </c>
    </row>
    <row r="678" spans="1:6">
      <c r="A678" s="4">
        <v>44044</v>
      </c>
      <c r="B678" s="7">
        <v>50.040954999999997</v>
      </c>
    </row>
    <row r="679" spans="1:6">
      <c r="A679" s="4">
        <v>44075</v>
      </c>
      <c r="B679" s="7">
        <v>50.156049000000003</v>
      </c>
    </row>
    <row r="680" spans="1:6">
      <c r="A680" s="4">
        <v>44105</v>
      </c>
      <c r="B680" s="7">
        <v>50.381751000000001</v>
      </c>
    </row>
    <row r="681" spans="1:6">
      <c r="A681" s="4">
        <v>44136</v>
      </c>
      <c r="B681" s="7">
        <v>50.855339000000001</v>
      </c>
    </row>
    <row r="682" spans="1:6">
      <c r="A682" s="4">
        <v>44166</v>
      </c>
      <c r="B682" s="7">
        <v>51.267266999999997</v>
      </c>
    </row>
    <row r="683" spans="1:6">
      <c r="A683" s="4">
        <v>44197</v>
      </c>
      <c r="B683" s="7">
        <v>51.810699999999997</v>
      </c>
    </row>
    <row r="684" spans="1:6">
      <c r="A684" s="4">
        <v>44228</v>
      </c>
      <c r="B684" s="7">
        <v>52.214823000000003</v>
      </c>
      <c r="F684" s="13"/>
    </row>
    <row r="685" spans="1:6">
      <c r="A685" s="4">
        <v>44256</v>
      </c>
      <c r="B685" s="7">
        <v>52.465454000000001</v>
      </c>
    </row>
    <row r="686" spans="1:6">
      <c r="A686" s="4">
        <v>44287</v>
      </c>
      <c r="B686" s="7">
        <v>52.953381999999998</v>
      </c>
    </row>
    <row r="687" spans="1:6">
      <c r="A687" s="4">
        <v>44317</v>
      </c>
      <c r="B687" s="7">
        <v>53.271101999999999</v>
      </c>
    </row>
    <row r="688" spans="1:6">
      <c r="A688" s="4">
        <v>44348</v>
      </c>
      <c r="B688" s="7">
        <v>53.505493999999999</v>
      </c>
    </row>
    <row r="689" spans="1:6">
      <c r="A689" s="4">
        <v>44378</v>
      </c>
      <c r="B689" s="7">
        <v>53.949589000000003</v>
      </c>
      <c r="C689" s="13"/>
    </row>
    <row r="690" spans="1:6">
      <c r="A690" s="4">
        <v>44409</v>
      </c>
      <c r="B690" s="7">
        <v>54.338025999999999</v>
      </c>
    </row>
    <row r="691" spans="1:6">
      <c r="A691" s="4">
        <v>44440</v>
      </c>
      <c r="B691" s="7">
        <v>54.821634000000003</v>
      </c>
    </row>
    <row r="692" spans="1:6">
      <c r="A692" s="4">
        <v>44470</v>
      </c>
      <c r="B692" s="7">
        <v>55.446599999999997</v>
      </c>
    </row>
    <row r="693" spans="1:6">
      <c r="A693" s="4">
        <v>44501</v>
      </c>
      <c r="B693" s="7">
        <f>B692+(C693*B692)</f>
        <v>55.773734939999997</v>
      </c>
      <c r="C693" s="15">
        <v>5.8999999999999999E-3</v>
      </c>
      <c r="F693" s="7">
        <v>56.111958999999999</v>
      </c>
    </row>
    <row r="694" spans="1:6">
      <c r="A694" s="4">
        <v>44531</v>
      </c>
      <c r="B694" s="7">
        <f>SUM($C$693:C694)*$B$692+$B$692</f>
        <v>56.200673759999994</v>
      </c>
      <c r="C694" s="221">
        <v>7.7000000000000002E-3</v>
      </c>
      <c r="F694" s="7">
        <v>56.768467999999999</v>
      </c>
    </row>
    <row r="695" spans="1:6">
      <c r="A695" s="4">
        <v>44562</v>
      </c>
      <c r="B695" s="7">
        <f>SUM($C$693:C695)*$B$692+$B$692</f>
        <v>56.605433939999998</v>
      </c>
      <c r="C695" s="221">
        <v>7.3000000000000001E-3</v>
      </c>
      <c r="F695" s="7">
        <v>57.205584999999999</v>
      </c>
    </row>
    <row r="696" spans="1:6">
      <c r="A696" s="4">
        <v>44593</v>
      </c>
      <c r="B696" s="7">
        <f>SUM($C$693:C696)*$B$692+$B$692</f>
        <v>57.026828099999996</v>
      </c>
      <c r="C696" s="221">
        <v>7.6E-3</v>
      </c>
      <c r="F696" s="7">
        <v>57.623184999999999</v>
      </c>
    </row>
    <row r="697" spans="1:6">
      <c r="A697" s="4">
        <v>44621</v>
      </c>
      <c r="B697" s="7">
        <f>SUM($C$693:C697)*$B$692+$B$692</f>
        <v>57.542481479999999</v>
      </c>
      <c r="C697" s="221">
        <v>9.2999999999999992E-3</v>
      </c>
      <c r="F697" s="7">
        <v>58.061121</v>
      </c>
    </row>
    <row r="698" spans="1:6">
      <c r="A698" s="4">
        <v>44652</v>
      </c>
      <c r="B698" s="7">
        <f>SUM($C$693:C698)*$B$692+$B$692</f>
        <v>58.002688259999999</v>
      </c>
      <c r="C698" s="221">
        <v>8.3000000000000001E-3</v>
      </c>
      <c r="F698" s="7">
        <v>58.601089000000002</v>
      </c>
    </row>
    <row r="699" spans="1:6">
      <c r="A699" s="4">
        <v>44682</v>
      </c>
      <c r="B699" s="7">
        <f>SUM($C$693:C699)*$B$692+$B$692</f>
        <v>58.573788239999999</v>
      </c>
      <c r="C699" s="221">
        <v>1.03E-2</v>
      </c>
      <c r="F699" s="7">
        <v>59.087477999999997</v>
      </c>
    </row>
    <row r="700" spans="1:6">
      <c r="A700" s="4">
        <v>44713</v>
      </c>
      <c r="B700" s="7">
        <f>SUM($C$693:C700)*$B$692+$B$692</f>
        <v>59.13934356</v>
      </c>
      <c r="C700" s="221">
        <v>1.0200000000000001E-2</v>
      </c>
      <c r="F700" s="7">
        <v>59.696078999999997</v>
      </c>
    </row>
    <row r="701" spans="1:6">
      <c r="A701" s="4">
        <v>44743</v>
      </c>
      <c r="B701" s="7">
        <f>SUM($C$693:C701)*$B$692+$B$692</f>
        <v>59.71044354</v>
      </c>
      <c r="C701" s="221">
        <v>1.03E-2</v>
      </c>
      <c r="F701" s="7">
        <v>60.304979000000003</v>
      </c>
    </row>
    <row r="702" spans="1:6">
      <c r="A702" s="4">
        <v>44774</v>
      </c>
      <c r="B702" s="7">
        <f>SUM($C$693:C702)*$B$692+$B$692</f>
        <v>60.359168759999996</v>
      </c>
      <c r="C702" s="221">
        <v>1.17E-2</v>
      </c>
      <c r="F702" s="7">
        <v>60.926119999999997</v>
      </c>
    </row>
    <row r="703" spans="1:6">
      <c r="A703" s="4">
        <v>44805</v>
      </c>
      <c r="B703" s="7">
        <f>SUM($C$693:C703)*$B$692+$B$692</f>
        <v>60.952447379999995</v>
      </c>
      <c r="C703" s="221">
        <v>1.0699999999999999E-2</v>
      </c>
      <c r="F703" s="7">
        <v>61.638955000000003</v>
      </c>
    </row>
    <row r="704" spans="1:6">
      <c r="A704" s="4">
        <v>44835</v>
      </c>
      <c r="B704" s="7">
        <f>SUM($C$693:C704)*$B$692+$B$692</f>
        <v>61.518002699999997</v>
      </c>
      <c r="C704" s="221">
        <v>1.0200000000000001E-2</v>
      </c>
      <c r="F704" s="7">
        <v>62.298490999999999</v>
      </c>
    </row>
    <row r="705" spans="1:6">
      <c r="A705" s="4">
        <v>44866</v>
      </c>
      <c r="B705" s="7">
        <f>SUM($C$693:C705)*$B$692+$B$692</f>
        <v>62.083558019999998</v>
      </c>
      <c r="C705" s="221">
        <v>1.0200000000000001E-2</v>
      </c>
      <c r="F705" s="7">
        <v>62.933934999999998</v>
      </c>
    </row>
    <row r="706" spans="1:6">
      <c r="A706" s="4">
        <v>44896</v>
      </c>
      <c r="B706" s="7">
        <f>SUM($C$693:C706)*$B$692+$B$692</f>
        <v>62.704559939999996</v>
      </c>
      <c r="C706" s="221">
        <v>1.12E-2</v>
      </c>
      <c r="F706" s="7">
        <v>63.575861000000003</v>
      </c>
    </row>
    <row r="707" spans="1:6">
      <c r="A707" s="11">
        <v>44927</v>
      </c>
      <c r="B707" s="12">
        <f>SUM($C$693:C707)*$B$692+$B$692</f>
        <v>63.325561859999993</v>
      </c>
      <c r="C707" s="221">
        <v>1.12E-2</v>
      </c>
      <c r="F707" s="12">
        <v>64.287909999999997</v>
      </c>
    </row>
    <row r="708" spans="1:6">
      <c r="A708" s="11">
        <v>44958</v>
      </c>
      <c r="B708" s="12">
        <f>SUM($C$693:C708)*$B$692+$B$692</f>
        <v>63.835670579999999</v>
      </c>
      <c r="C708" s="221">
        <v>9.1999999999999998E-3</v>
      </c>
      <c r="F708" s="12">
        <v>65.007934000000006</v>
      </c>
    </row>
    <row r="709" spans="1:6">
      <c r="A709" s="11">
        <v>44986</v>
      </c>
      <c r="B709" s="12">
        <f>SUM($C$693:C709)*$B$692+$B$692</f>
        <v>64.484395799999987</v>
      </c>
      <c r="C709" s="221">
        <v>1.17E-2</v>
      </c>
      <c r="F709" s="12">
        <v>65.606005999999994</v>
      </c>
    </row>
    <row r="710" spans="1:6">
      <c r="A710" s="11">
        <v>45017</v>
      </c>
      <c r="B710" s="12">
        <f>SUM($C$693:C710)*$B$692+$B$692</f>
        <v>64.994504519999992</v>
      </c>
      <c r="C710" s="221">
        <v>9.1999999999999998E-3</v>
      </c>
      <c r="F710" s="12">
        <v>66.373596000000006</v>
      </c>
    </row>
    <row r="711" spans="1:6">
      <c r="A711" s="11">
        <v>45047</v>
      </c>
      <c r="B711" s="12">
        <f>SUM($C$693:C711)*$B$692+$B$692</f>
        <v>65.61550643999999</v>
      </c>
      <c r="C711" s="221">
        <v>1.12E-2</v>
      </c>
      <c r="F711" s="12">
        <v>66.984233000000003</v>
      </c>
    </row>
    <row r="712" spans="1:6">
      <c r="A712" s="11">
        <v>45078</v>
      </c>
      <c r="B712" s="12">
        <f>SUM($C$693:C712)*$B$692+$B$692</f>
        <v>66.208785059999997</v>
      </c>
      <c r="C712" s="221">
        <v>1.0699999999999999E-2</v>
      </c>
      <c r="F712" s="12">
        <v>67.734455999999994</v>
      </c>
    </row>
    <row r="713" spans="1:6">
      <c r="A713" s="11">
        <v>45108</v>
      </c>
      <c r="B713" s="12">
        <f>SUM($C$693:C713)*$B$692+$B$692</f>
        <v>66.802063679999989</v>
      </c>
      <c r="C713" s="221">
        <v>1.0699999999999999E-2</v>
      </c>
      <c r="F713" s="12">
        <v>68.459214000000003</v>
      </c>
    </row>
    <row r="714" spans="1:6">
      <c r="A714" s="11">
        <v>45139</v>
      </c>
      <c r="B714" s="12">
        <f>SUM($C$693:C714)*$B$692+$B$692</f>
        <v>67.434154919999997</v>
      </c>
      <c r="C714" s="221">
        <v>1.14E-2</v>
      </c>
      <c r="F714" s="12">
        <v>69.191727</v>
      </c>
    </row>
    <row r="715" spans="1:6">
      <c r="A715" s="11">
        <v>45170</v>
      </c>
      <c r="B715" s="12">
        <f>SUM($C$693:C715)*$B$692+$B$692</f>
        <v>67.971986939999994</v>
      </c>
      <c r="C715" s="221">
        <v>9.7000000000000003E-3</v>
      </c>
      <c r="F715" s="12">
        <v>69.980512000000004</v>
      </c>
    </row>
    <row r="716" spans="1:6">
      <c r="A716" s="11">
        <v>45200</v>
      </c>
      <c r="B716" s="12">
        <f>SUM($C$693:C716)*$B$692+$B$692</f>
        <v>68.526452939999999</v>
      </c>
      <c r="C716" s="221">
        <v>0.01</v>
      </c>
      <c r="F716" s="12">
        <v>70.659322000000003</v>
      </c>
    </row>
    <row r="717" spans="1:6">
      <c r="A717" s="11">
        <v>45231</v>
      </c>
      <c r="B717" s="12">
        <f>SUM($C$693:C717)*$B$692+$B$692</f>
        <v>69.03656165999999</v>
      </c>
      <c r="C717" s="221">
        <v>9.1999999999999998E-3</v>
      </c>
      <c r="F717" s="12">
        <v>71.365915000000001</v>
      </c>
    </row>
    <row r="718" spans="1:6">
      <c r="A718" s="11">
        <v>45261</v>
      </c>
      <c r="B718" s="12">
        <f>SUM($C$693:C718)*$B$692+$B$692</f>
        <v>69.5300364</v>
      </c>
      <c r="C718" s="221">
        <v>8.8999999999999999E-3</v>
      </c>
      <c r="F718" s="12">
        <v>72.022480999999999</v>
      </c>
    </row>
    <row r="719" spans="1:6">
      <c r="A719" s="9">
        <v>45292</v>
      </c>
      <c r="B719" s="12">
        <f>SUM($C$693:C719)*$B$692+$B$692</f>
        <v>70.067868419999996</v>
      </c>
      <c r="C719" s="221">
        <v>9.7000000000000003E-3</v>
      </c>
      <c r="F719" s="12">
        <v>72.663481000000004</v>
      </c>
    </row>
    <row r="720" spans="1:6">
      <c r="A720" s="9">
        <v>45323</v>
      </c>
      <c r="B720" s="10">
        <f>SUM($C$693:C720)*$B$692+$B$692</f>
        <v>70.511441219999995</v>
      </c>
      <c r="C720" s="221">
        <v>8.0000000000000002E-3</v>
      </c>
      <c r="F720" s="10">
        <v>73.368315999999993</v>
      </c>
    </row>
    <row r="721" spans="1:8">
      <c r="A721" s="9">
        <v>45352</v>
      </c>
      <c r="B721" s="10">
        <f>SUM($C$693:C721)*$B$692+$B$692</f>
        <v>70.971647999999988</v>
      </c>
      <c r="C721" s="221">
        <v>8.3000000000000001E-3</v>
      </c>
      <c r="F721" s="10">
        <v>73.955262000000005</v>
      </c>
    </row>
    <row r="722" spans="1:8">
      <c r="A722" s="9">
        <v>45383</v>
      </c>
      <c r="B722" s="10">
        <f>SUM($C$693:C722)*$B$692+$B$692</f>
        <v>71.465122739999998</v>
      </c>
      <c r="C722" s="221">
        <v>8.8999999999999999E-3</v>
      </c>
      <c r="D722">
        <f>B722/B692</f>
        <v>1.2889000000000002</v>
      </c>
      <c r="F722" s="10">
        <v>74.569090000000003</v>
      </c>
      <c r="H722">
        <f>F722/B722</f>
        <v>1.0434333160147595</v>
      </c>
    </row>
    <row r="723" spans="1:8">
      <c r="A723" s="9">
        <v>45413</v>
      </c>
      <c r="B723" s="10">
        <f>SUM($C$693:C723)*$B$692+$B$692</f>
        <v>71.925329519999991</v>
      </c>
      <c r="C723" s="15">
        <v>8.3000000000000001E-3</v>
      </c>
    </row>
    <row r="724" spans="1:8">
      <c r="A724" s="9">
        <v>45444</v>
      </c>
      <c r="B724" s="10">
        <f>SUM($C$693:C724)*$B$692+$B$692</f>
        <v>72.363357659999991</v>
      </c>
      <c r="C724" s="15">
        <v>7.9000000000000008E-3</v>
      </c>
    </row>
    <row r="725" spans="1:8">
      <c r="A725" s="9">
        <v>45474</v>
      </c>
      <c r="B725" s="10">
        <f>SUM($C$693:C725)*$B$692+$B$692</f>
        <v>72.867921719999998</v>
      </c>
      <c r="C725" s="221">
        <v>9.1000000000000004E-3</v>
      </c>
    </row>
    <row r="726" spans="1:8">
      <c r="A726" s="9">
        <v>45505</v>
      </c>
      <c r="B726" s="10">
        <f>SUM($C$693:C726)*$B$692+$B$692</f>
        <v>73.350307139999984</v>
      </c>
      <c r="C726" s="15">
        <v>8.6999999999999994E-3</v>
      </c>
    </row>
    <row r="727" spans="1:8">
      <c r="A727" s="9">
        <v>45536</v>
      </c>
      <c r="B727" s="10">
        <f>SUM($C$693:C727)*$B$692+$B$692</f>
        <v>73.816058579999989</v>
      </c>
      <c r="C727" s="15">
        <v>8.3999999999999995E-3</v>
      </c>
    </row>
    <row r="728" spans="1:8">
      <c r="A728" s="9">
        <v>45566</v>
      </c>
      <c r="B728" s="10">
        <f>SUM($C$693:C728)*$B$692+$B$692</f>
        <v>74.331711959999993</v>
      </c>
      <c r="C728" s="15">
        <v>9.2999999999999992E-3</v>
      </c>
    </row>
    <row r="729" spans="1:8">
      <c r="A729" s="9">
        <v>45597</v>
      </c>
      <c r="B729" s="10">
        <f>SUM($C$693:C729)*$B$692+$B$692</f>
        <v>74.769740099999993</v>
      </c>
      <c r="C729" s="15">
        <v>7.9000000000000008E-3</v>
      </c>
    </row>
    <row r="730" spans="1:8">
      <c r="A730" s="9">
        <v>45627</v>
      </c>
      <c r="B730" s="10">
        <f>SUM($C$693:C730)*$B$692+$B$692</f>
        <v>75.285393479999982</v>
      </c>
      <c r="C730" s="15">
        <v>9.2999999999999992E-3</v>
      </c>
    </row>
    <row r="731" spans="1:8">
      <c r="A731" s="9">
        <v>45658</v>
      </c>
      <c r="B731" s="10">
        <f>SUM($C$693:C731)*$B$692+$B$692</f>
        <v>75.845404139999985</v>
      </c>
      <c r="C731" s="15">
        <v>1.01E-2</v>
      </c>
    </row>
    <row r="732" spans="1:8">
      <c r="A732" s="9">
        <f>A731+31</f>
        <v>45689</v>
      </c>
      <c r="B732" s="10">
        <f>SUM($C$693:C732)*$B$692+$B$692</f>
        <v>76.394325479999992</v>
      </c>
      <c r="C732" s="15">
        <v>9.9000000000000008E-3</v>
      </c>
    </row>
    <row r="733" spans="1:8">
      <c r="A733" s="9">
        <f t="shared" ref="A733:A746" si="0">A732+31</f>
        <v>45720</v>
      </c>
      <c r="B733" s="10">
        <f>SUM($C$693:C733)*$B$692+$B$692</f>
        <v>76.92661283999999</v>
      </c>
      <c r="C733" s="15">
        <v>9.5999999999999992E-3</v>
      </c>
    </row>
    <row r="734" spans="1:8">
      <c r="A734" s="9">
        <f t="shared" si="0"/>
        <v>45751</v>
      </c>
      <c r="B734" s="10">
        <f>SUM($C$693:C734)*$B$692+$B$692</f>
        <v>77.514346799999998</v>
      </c>
      <c r="C734" s="15">
        <v>1.06E-2</v>
      </c>
    </row>
    <row r="735" spans="1:8">
      <c r="A735" s="9">
        <f t="shared" si="0"/>
        <v>45782</v>
      </c>
      <c r="B735" s="10">
        <f>SUM($C$693:C735)*$B$692+$B$692</f>
        <v>78.146438039999992</v>
      </c>
      <c r="C735" s="15">
        <v>1.14E-2</v>
      </c>
    </row>
    <row r="736" spans="1:8">
      <c r="A736" s="9">
        <f t="shared" si="0"/>
        <v>45813</v>
      </c>
      <c r="B736" s="10">
        <f>SUM($C$693:C736)*$B$692+$B$692</f>
        <v>78.756350639999994</v>
      </c>
      <c r="C736" s="15">
        <v>1.0999999999999999E-2</v>
      </c>
    </row>
    <row r="737" spans="1:3">
      <c r="A737" s="9">
        <f t="shared" si="0"/>
        <v>45844</v>
      </c>
      <c r="B737" s="10">
        <f>SUM($C$693:C737)*$B$692+$B$692</f>
        <v>79.466067119999991</v>
      </c>
      <c r="C737" s="15">
        <v>1.2800000000000001E-2</v>
      </c>
    </row>
    <row r="738" spans="1:3">
      <c r="A738" s="9">
        <f t="shared" si="0"/>
        <v>45875</v>
      </c>
      <c r="B738" s="10">
        <f>SUM($C$693:C738)*$B$692+$B$692</f>
        <v>79.55847811999999</v>
      </c>
      <c r="C738" s="28">
        <f t="shared" ref="C738:C746" si="1">(2%/12)</f>
        <v>1.6666666666666668E-3</v>
      </c>
    </row>
    <row r="739" spans="1:3">
      <c r="A739" s="9">
        <f t="shared" si="0"/>
        <v>45906</v>
      </c>
      <c r="B739" s="10">
        <f>SUM($C$693:C739)*$B$692+$B$692</f>
        <v>79.650889119999988</v>
      </c>
      <c r="C739" s="28">
        <f t="shared" si="1"/>
        <v>1.6666666666666668E-3</v>
      </c>
    </row>
    <row r="740" spans="1:3">
      <c r="A740" s="9">
        <f t="shared" si="0"/>
        <v>45937</v>
      </c>
      <c r="B740" s="10">
        <f>SUM($C$693:C740)*$B$692+$B$692</f>
        <v>79.743300119999986</v>
      </c>
      <c r="C740" s="28">
        <f t="shared" si="1"/>
        <v>1.6666666666666668E-3</v>
      </c>
    </row>
    <row r="741" spans="1:3">
      <c r="A741" s="9">
        <f t="shared" si="0"/>
        <v>45968</v>
      </c>
      <c r="B741" s="10">
        <f>SUM($C$693:C741)*$B$692+$B$692</f>
        <v>79.835711119999985</v>
      </c>
      <c r="C741" s="28">
        <f t="shared" si="1"/>
        <v>1.6666666666666668E-3</v>
      </c>
    </row>
    <row r="742" spans="1:3">
      <c r="A742" s="9">
        <f t="shared" si="0"/>
        <v>45999</v>
      </c>
      <c r="B742" s="10">
        <f>SUM($C$693:C742)*$B$692+$B$692</f>
        <v>79.928122119999983</v>
      </c>
      <c r="C742" s="28">
        <f t="shared" si="1"/>
        <v>1.6666666666666668E-3</v>
      </c>
    </row>
    <row r="743" spans="1:3">
      <c r="A743" s="9">
        <f t="shared" si="0"/>
        <v>46030</v>
      </c>
      <c r="B743" s="10">
        <f>SUM($C$693:C743)*$B$692+$B$692</f>
        <v>80.020533119999982</v>
      </c>
      <c r="C743" s="28">
        <f t="shared" si="1"/>
        <v>1.6666666666666668E-3</v>
      </c>
    </row>
    <row r="744" spans="1:3">
      <c r="A744" s="9">
        <f t="shared" si="0"/>
        <v>46061</v>
      </c>
      <c r="B744" s="10">
        <f>SUM($C$693:C744)*$B$692+$B$692</f>
        <v>80.11294411999998</v>
      </c>
      <c r="C744" s="28">
        <f t="shared" si="1"/>
        <v>1.6666666666666668E-3</v>
      </c>
    </row>
    <row r="745" spans="1:3">
      <c r="A745" s="9">
        <f t="shared" si="0"/>
        <v>46092</v>
      </c>
      <c r="B745" s="10">
        <f>SUM($C$693:C745)*$B$692+$B$692</f>
        <v>80.205355119999979</v>
      </c>
      <c r="C745" s="28">
        <f t="shared" si="1"/>
        <v>1.6666666666666668E-3</v>
      </c>
    </row>
    <row r="746" spans="1:3">
      <c r="A746" s="9">
        <f t="shared" si="0"/>
        <v>46123</v>
      </c>
      <c r="B746" s="10">
        <f>SUM($C$693:C746)*$B$692+$B$692</f>
        <v>80.297766119999977</v>
      </c>
      <c r="C746" s="28">
        <f t="shared" si="1"/>
        <v>1.6666666666666668E-3</v>
      </c>
    </row>
  </sheetData>
  <mergeCells count="5">
    <mergeCell ref="I28:S36"/>
    <mergeCell ref="I5:X5"/>
    <mergeCell ref="I6:X6"/>
    <mergeCell ref="I8:S16"/>
    <mergeCell ref="I18:S26"/>
  </mergeCells>
  <conditionalFormatting sqref="A8:B706">
    <cfRule type="expression" dxfId="9" priority="3">
      <formula>ISODD(YEAR($A8))=TRUE</formula>
    </cfRule>
    <cfRule type="expression" dxfId="8" priority="4">
      <formula>ISEVEN(YEAR($A8))=TRUE</formula>
    </cfRule>
  </conditionalFormatting>
  <conditionalFormatting sqref="F693:F706">
    <cfRule type="expression" dxfId="7" priority="1">
      <formula>ISODD(YEAR($A693))=TRUE</formula>
    </cfRule>
    <cfRule type="expression" dxfId="6" priority="2">
      <formula>ISEVEN(YEAR($A693))=TRUE</formula>
    </cfRule>
  </conditionalFormatting>
  <hyperlinks>
    <hyperlink ref="A6" r:id="rId1" xr:uid="{063070D6-03F1-4D04-B22C-4F911E8AA4D2}"/>
  </hyperlinks>
  <pageMargins left="0.511811024" right="0.511811024" top="0.78740157499999996" bottom="0.78740157499999996" header="0.31496062000000002" footer="0.31496062000000002"/>
  <pageSetup paperSize="9" orientation="portrait" horizontalDpi="1200" verticalDpi="12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4C366-7636-479E-8FC9-2C70ED7D6FFC}">
  <dimension ref="A1:AL419"/>
  <sheetViews>
    <sheetView showGridLines="0" workbookViewId="0">
      <pane ySplit="7" topLeftCell="A392" activePane="bottomLeft" state="frozen"/>
      <selection pane="bottomLeft" activeCell="E420" sqref="E420"/>
    </sheetView>
  </sheetViews>
  <sheetFormatPr defaultRowHeight="14.5"/>
  <cols>
    <col min="1" max="1" width="9.1796875" style="4"/>
    <col min="2" max="2" width="14.1796875" style="7" bestFit="1" customWidth="1"/>
    <col min="5" max="5" width="12.1796875" bestFit="1" customWidth="1"/>
    <col min="9" max="10" width="12.7265625" bestFit="1" customWidth="1"/>
    <col min="11" max="11" width="11.7265625" bestFit="1" customWidth="1"/>
    <col min="12" max="12" width="11.7265625" customWidth="1"/>
    <col min="13" max="14" width="12.7265625" bestFit="1" customWidth="1"/>
  </cols>
  <sheetData>
    <row r="1" spans="1:38" ht="20">
      <c r="A1" s="2"/>
      <c r="B1"/>
      <c r="C1" s="15"/>
      <c r="F1" s="16" t="s">
        <v>83</v>
      </c>
    </row>
    <row r="2" spans="1:38" ht="15">
      <c r="A2" s="3" t="s">
        <v>95</v>
      </c>
      <c r="B2"/>
      <c r="C2" s="15"/>
      <c r="F2" s="5">
        <v>44681</v>
      </c>
    </row>
    <row r="3" spans="1:38" ht="1.5" customHeight="1">
      <c r="A3"/>
      <c r="B3"/>
      <c r="C3" s="15"/>
    </row>
    <row r="4" spans="1:38">
      <c r="A4" s="6" t="s">
        <v>96</v>
      </c>
      <c r="H4" s="334" t="s">
        <v>97</v>
      </c>
      <c r="I4" s="334"/>
      <c r="J4" s="334"/>
      <c r="K4" s="334"/>
      <c r="L4" s="334"/>
      <c r="M4" s="334"/>
      <c r="N4" s="334"/>
      <c r="O4" s="334"/>
      <c r="P4" s="334"/>
      <c r="Q4" s="334"/>
      <c r="R4" s="334"/>
      <c r="S4" s="334"/>
      <c r="T4" s="334"/>
      <c r="U4" s="334"/>
      <c r="V4" s="334"/>
      <c r="W4" s="334"/>
      <c r="X4" s="334"/>
    </row>
    <row r="5" spans="1:38" ht="15" customHeight="1">
      <c r="A5" s="6" t="s">
        <v>86</v>
      </c>
      <c r="H5" s="334"/>
      <c r="I5" s="334"/>
      <c r="J5" s="334"/>
      <c r="K5" s="334"/>
      <c r="L5" s="334"/>
      <c r="M5" s="334"/>
      <c r="N5" s="334"/>
      <c r="O5" s="334"/>
      <c r="P5" s="334"/>
      <c r="Q5" s="334"/>
      <c r="R5" s="334"/>
      <c r="S5" s="334"/>
      <c r="T5" s="334"/>
      <c r="U5" s="334"/>
      <c r="V5" s="334"/>
      <c r="W5" s="334"/>
      <c r="X5" s="334"/>
      <c r="Y5" s="77"/>
      <c r="Z5" s="77"/>
      <c r="AA5" s="77"/>
      <c r="AB5" s="77"/>
      <c r="AC5" s="77"/>
      <c r="AD5" s="77"/>
      <c r="AE5" s="77"/>
      <c r="AF5" s="77"/>
      <c r="AG5" s="77"/>
      <c r="AH5" s="77"/>
      <c r="AI5" s="77"/>
      <c r="AJ5" s="77"/>
      <c r="AK5" s="77"/>
      <c r="AL5" s="77"/>
    </row>
    <row r="6" spans="1:38" ht="15" customHeight="1">
      <c r="A6" s="78" t="s">
        <v>98</v>
      </c>
    </row>
    <row r="7" spans="1:38">
      <c r="A7" s="5" t="s">
        <v>90</v>
      </c>
      <c r="B7" s="8" t="s">
        <v>91</v>
      </c>
    </row>
    <row r="8" spans="1:38">
      <c r="A8" s="4">
        <v>33604</v>
      </c>
      <c r="B8" s="7">
        <v>1000</v>
      </c>
      <c r="C8" s="14"/>
      <c r="D8" s="14"/>
      <c r="E8" s="14"/>
      <c r="F8" s="14"/>
    </row>
    <row r="9" spans="1:38">
      <c r="A9" s="4">
        <v>33635</v>
      </c>
      <c r="B9" s="7">
        <v>1256</v>
      </c>
      <c r="C9" s="14"/>
      <c r="D9" s="14"/>
      <c r="E9" s="14"/>
      <c r="F9" s="14"/>
    </row>
    <row r="10" spans="1:38">
      <c r="A10" s="4">
        <v>33664</v>
      </c>
      <c r="B10" s="7">
        <v>1583.816</v>
      </c>
      <c r="C10" s="14"/>
      <c r="D10" s="14"/>
      <c r="E10" s="14"/>
      <c r="F10" s="14"/>
    </row>
    <row r="11" spans="1:38">
      <c r="A11" s="4">
        <v>33695</v>
      </c>
      <c r="B11" s="7">
        <v>1932.7306639999999</v>
      </c>
      <c r="C11" s="14"/>
      <c r="D11" s="14"/>
      <c r="E11" s="14"/>
      <c r="F11" s="14"/>
    </row>
    <row r="12" spans="1:38">
      <c r="A12" s="4">
        <v>33725</v>
      </c>
      <c r="B12" s="7">
        <v>2315.9911539999998</v>
      </c>
      <c r="C12" s="14"/>
      <c r="D12" s="14"/>
      <c r="E12" s="14"/>
      <c r="F12" s="14"/>
    </row>
    <row r="13" spans="1:38">
      <c r="A13" s="4">
        <v>33756</v>
      </c>
      <c r="B13" s="7">
        <v>2859.0910789999998</v>
      </c>
      <c r="C13" s="14"/>
      <c r="D13" s="14"/>
      <c r="E13" s="14"/>
      <c r="F13" s="14"/>
    </row>
    <row r="14" spans="1:38">
      <c r="A14" s="4">
        <v>33786</v>
      </c>
      <c r="B14" s="7">
        <v>3524.4015730000001</v>
      </c>
      <c r="C14" s="14"/>
      <c r="D14" s="14"/>
      <c r="E14" s="14"/>
      <c r="F14" s="14"/>
    </row>
    <row r="15" spans="1:38">
      <c r="A15" s="4">
        <v>33817</v>
      </c>
      <c r="B15" s="7">
        <v>4264.8783430000003</v>
      </c>
      <c r="C15" s="14"/>
      <c r="D15" s="14"/>
      <c r="E15" s="14"/>
      <c r="F15" s="14"/>
    </row>
    <row r="16" spans="1:38">
      <c r="A16" s="4">
        <v>33848</v>
      </c>
      <c r="B16" s="7">
        <v>5251.7711909999998</v>
      </c>
      <c r="C16" s="14"/>
      <c r="D16" s="14"/>
      <c r="E16" s="14"/>
      <c r="F16" s="14"/>
    </row>
    <row r="17" spans="1:6">
      <c r="A17" s="4">
        <v>33878</v>
      </c>
      <c r="B17" s="7">
        <v>6477.0094090000002</v>
      </c>
      <c r="C17" s="14"/>
      <c r="D17" s="14"/>
      <c r="E17" s="14"/>
      <c r="F17" s="14"/>
    </row>
    <row r="18" spans="1:6">
      <c r="A18" s="4">
        <v>33909</v>
      </c>
      <c r="B18" s="7">
        <v>8127.3514059999998</v>
      </c>
      <c r="C18" s="14"/>
      <c r="D18" s="14"/>
      <c r="E18" s="14"/>
      <c r="F18" s="14"/>
    </row>
    <row r="19" spans="1:6">
      <c r="A19" s="4">
        <v>33939</v>
      </c>
      <c r="B19" s="7">
        <v>10053.533689</v>
      </c>
      <c r="C19" s="14"/>
      <c r="D19" s="14"/>
      <c r="E19" s="14"/>
      <c r="F19" s="14"/>
    </row>
    <row r="20" spans="1:6">
      <c r="A20" s="4">
        <v>33970</v>
      </c>
      <c r="B20" s="7">
        <v>12415.108752</v>
      </c>
    </row>
    <row r="21" spans="1:6">
      <c r="A21" s="4">
        <v>34001</v>
      </c>
      <c r="B21" s="7">
        <v>16073.841301</v>
      </c>
    </row>
    <row r="22" spans="1:6">
      <c r="A22" s="4">
        <v>34029</v>
      </c>
      <c r="B22" s="7">
        <v>20368.771696</v>
      </c>
    </row>
    <row r="23" spans="1:6">
      <c r="A23" s="4">
        <v>34060</v>
      </c>
      <c r="B23" s="7">
        <v>25656.504828000001</v>
      </c>
    </row>
    <row r="24" spans="1:6">
      <c r="A24" s="4">
        <v>34090</v>
      </c>
      <c r="B24" s="7">
        <v>32670.993246999999</v>
      </c>
    </row>
    <row r="25" spans="1:6">
      <c r="A25" s="4">
        <v>34121</v>
      </c>
      <c r="B25" s="7">
        <v>42083.506400999999</v>
      </c>
    </row>
    <row r="26" spans="1:6">
      <c r="A26" s="4">
        <v>34151</v>
      </c>
      <c r="B26" s="7">
        <v>54851.642243000002</v>
      </c>
    </row>
    <row r="27" spans="1:6">
      <c r="A27" s="4">
        <v>34182</v>
      </c>
      <c r="B27" s="7">
        <v>71.674639999999997</v>
      </c>
    </row>
    <row r="28" spans="1:6">
      <c r="A28" s="4">
        <v>34213</v>
      </c>
      <c r="B28" s="7">
        <v>94.603357000000003</v>
      </c>
    </row>
    <row r="29" spans="1:6">
      <c r="A29" s="4">
        <v>34243</v>
      </c>
      <c r="B29" s="7">
        <v>127.12799099999999</v>
      </c>
    </row>
    <row r="30" spans="1:6">
      <c r="A30" s="4">
        <v>34274</v>
      </c>
      <c r="B30" s="7">
        <v>171.83890500000001</v>
      </c>
    </row>
    <row r="31" spans="1:6">
      <c r="A31" s="4">
        <v>34304</v>
      </c>
      <c r="B31" s="7">
        <v>230.09229300000001</v>
      </c>
    </row>
    <row r="32" spans="1:6">
      <c r="A32" s="4">
        <v>34335</v>
      </c>
      <c r="B32" s="7">
        <v>314.51315499999998</v>
      </c>
    </row>
    <row r="33" spans="1:2">
      <c r="A33" s="4">
        <v>34366</v>
      </c>
      <c r="B33" s="7">
        <v>437.70795700000002</v>
      </c>
    </row>
    <row r="34" spans="1:2">
      <c r="A34" s="4">
        <v>34394</v>
      </c>
      <c r="B34" s="7">
        <v>611.47801500000003</v>
      </c>
    </row>
    <row r="35" spans="1:2">
      <c r="A35" s="4">
        <v>34425</v>
      </c>
      <c r="B35" s="7">
        <v>878.26587199999994</v>
      </c>
    </row>
    <row r="36" spans="1:2">
      <c r="A36" s="4">
        <v>34455</v>
      </c>
      <c r="B36" s="7">
        <v>1240.5505439999999</v>
      </c>
    </row>
    <row r="37" spans="1:2">
      <c r="A37" s="4">
        <v>34486</v>
      </c>
      <c r="B37" s="7">
        <v>1788.9979390000001</v>
      </c>
    </row>
    <row r="38" spans="1:2">
      <c r="A38" s="4">
        <v>34516</v>
      </c>
      <c r="B38" s="7">
        <v>0.94101199999999996</v>
      </c>
    </row>
    <row r="39" spans="1:2">
      <c r="A39" s="4">
        <v>34547</v>
      </c>
      <c r="B39" s="7">
        <v>0.99003799999999997</v>
      </c>
    </row>
    <row r="40" spans="1:2">
      <c r="A40" s="4">
        <v>34578</v>
      </c>
      <c r="B40" s="7">
        <v>1.039539</v>
      </c>
    </row>
    <row r="41" spans="1:2">
      <c r="A41" s="4">
        <v>34608</v>
      </c>
      <c r="B41" s="7">
        <v>1.0564830000000001</v>
      </c>
    </row>
    <row r="42" spans="1:2">
      <c r="A42" s="4">
        <v>34639</v>
      </c>
      <c r="B42" s="7">
        <v>1.0765560000000001</v>
      </c>
    </row>
    <row r="43" spans="1:2">
      <c r="A43" s="4">
        <v>34669</v>
      </c>
      <c r="B43" s="7">
        <v>1.108314</v>
      </c>
    </row>
    <row r="44" spans="1:2">
      <c r="A44" s="4">
        <v>34700</v>
      </c>
      <c r="B44" s="7">
        <v>1.133251</v>
      </c>
    </row>
    <row r="45" spans="1:2">
      <c r="A45" s="4">
        <v>34731</v>
      </c>
      <c r="B45" s="7">
        <v>1.1534219999999999</v>
      </c>
    </row>
    <row r="46" spans="1:2">
      <c r="A46" s="4">
        <v>34759</v>
      </c>
      <c r="B46" s="7">
        <v>1.1674929999999999</v>
      </c>
    </row>
    <row r="47" spans="1:2">
      <c r="A47" s="4">
        <v>34790</v>
      </c>
      <c r="B47" s="7">
        <v>1.182436</v>
      </c>
    </row>
    <row r="48" spans="1:2">
      <c r="A48" s="4">
        <v>34820</v>
      </c>
      <c r="B48" s="7">
        <v>1.2054929999999999</v>
      </c>
    </row>
    <row r="49" spans="1:2">
      <c r="A49" s="4">
        <v>34851</v>
      </c>
      <c r="B49" s="7">
        <v>1.238885</v>
      </c>
    </row>
    <row r="50" spans="1:2">
      <c r="A50" s="4">
        <v>34881</v>
      </c>
      <c r="B50" s="7">
        <v>1.266759</v>
      </c>
    </row>
    <row r="51" spans="1:2">
      <c r="A51" s="4">
        <v>34912</v>
      </c>
      <c r="B51" s="7">
        <v>1.2995680000000001</v>
      </c>
    </row>
    <row r="52" spans="1:2">
      <c r="A52" s="4">
        <v>34943</v>
      </c>
      <c r="B52" s="7">
        <v>1.3189310000000001</v>
      </c>
    </row>
    <row r="53" spans="1:2">
      <c r="A53" s="4">
        <v>34973</v>
      </c>
      <c r="B53" s="7">
        <v>1.3317239999999999</v>
      </c>
    </row>
    <row r="54" spans="1:2">
      <c r="A54" s="4">
        <v>35004</v>
      </c>
      <c r="B54" s="7">
        <v>1.349569</v>
      </c>
    </row>
    <row r="55" spans="1:2">
      <c r="A55" s="4">
        <v>35034</v>
      </c>
      <c r="B55" s="7">
        <v>1.369272</v>
      </c>
    </row>
    <row r="56" spans="1:2">
      <c r="A56" s="4">
        <v>35065</v>
      </c>
      <c r="B56" s="7">
        <v>1.387894</v>
      </c>
    </row>
    <row r="57" spans="1:2">
      <c r="A57" s="4">
        <v>35096</v>
      </c>
      <c r="B57" s="7">
        <v>1.4105160000000001</v>
      </c>
    </row>
    <row r="58" spans="1:2">
      <c r="A58" s="4">
        <v>35125</v>
      </c>
      <c r="B58" s="7">
        <v>1.4274420000000001</v>
      </c>
    </row>
    <row r="59" spans="1:2">
      <c r="A59" s="4">
        <v>35156</v>
      </c>
      <c r="B59" s="7">
        <v>1.4362919999999999</v>
      </c>
    </row>
    <row r="60" spans="1:2">
      <c r="A60" s="4">
        <v>35186</v>
      </c>
      <c r="B60" s="7">
        <v>1.4463459999999999</v>
      </c>
    </row>
    <row r="61" spans="1:2">
      <c r="A61" s="4">
        <v>35217</v>
      </c>
      <c r="B61" s="7">
        <v>1.4654370000000001</v>
      </c>
    </row>
    <row r="62" spans="1:2">
      <c r="A62" s="4">
        <v>35247</v>
      </c>
      <c r="B62" s="7">
        <v>1.481703</v>
      </c>
    </row>
    <row r="63" spans="1:2">
      <c r="A63" s="4">
        <v>35278</v>
      </c>
      <c r="B63" s="7">
        <v>1.5020020000000001</v>
      </c>
    </row>
    <row r="64" spans="1:2">
      <c r="A64" s="4">
        <v>35309</v>
      </c>
      <c r="B64" s="7">
        <v>1.512516</v>
      </c>
    </row>
    <row r="65" spans="1:2">
      <c r="A65" s="4">
        <v>35339</v>
      </c>
      <c r="B65" s="7">
        <v>1.5141789999999999</v>
      </c>
    </row>
    <row r="66" spans="1:2">
      <c r="A66" s="4">
        <v>35370</v>
      </c>
      <c r="B66" s="7">
        <v>1.5162979999999999</v>
      </c>
    </row>
    <row r="67" spans="1:2">
      <c r="A67" s="4">
        <v>35400</v>
      </c>
      <c r="B67" s="7">
        <v>1.5225139999999999</v>
      </c>
    </row>
    <row r="68" spans="1:2">
      <c r="A68" s="4">
        <v>35431</v>
      </c>
      <c r="B68" s="7">
        <v>1.5255590000000001</v>
      </c>
    </row>
    <row r="69" spans="1:2">
      <c r="A69" s="4">
        <v>35462</v>
      </c>
      <c r="B69" s="7">
        <v>1.542797</v>
      </c>
    </row>
    <row r="70" spans="1:2">
      <c r="A70" s="4">
        <v>35490</v>
      </c>
      <c r="B70" s="7">
        <v>1.55375</v>
      </c>
    </row>
    <row r="71" spans="1:2">
      <c r="A71" s="4">
        <v>35521</v>
      </c>
      <c r="B71" s="7">
        <v>1.5629169999999999</v>
      </c>
    </row>
    <row r="72" spans="1:2">
      <c r="A72" s="4">
        <v>35551</v>
      </c>
      <c r="B72" s="7">
        <v>1.5735440000000001</v>
      </c>
    </row>
    <row r="73" spans="1:2">
      <c r="A73" s="4">
        <v>35582</v>
      </c>
      <c r="B73" s="7">
        <v>1.5814109999999999</v>
      </c>
    </row>
    <row r="74" spans="1:2">
      <c r="A74" s="4">
        <v>35612</v>
      </c>
      <c r="B74" s="7">
        <v>1.5901080000000001</v>
      </c>
    </row>
    <row r="75" spans="1:2">
      <c r="A75" s="4">
        <v>35643</v>
      </c>
      <c r="B75" s="7">
        <v>1.595037</v>
      </c>
    </row>
    <row r="76" spans="1:2">
      <c r="A76" s="4">
        <v>35674</v>
      </c>
      <c r="B76" s="7">
        <v>1.5977479999999999</v>
      </c>
    </row>
    <row r="77" spans="1:2">
      <c r="A77" s="4">
        <v>35704</v>
      </c>
      <c r="B77" s="7">
        <v>1.596949</v>
      </c>
    </row>
    <row r="78" spans="1:2">
      <c r="A78" s="4">
        <v>35735</v>
      </c>
      <c r="B78" s="7">
        <v>1.6009409999999999</v>
      </c>
    </row>
    <row r="79" spans="1:2">
      <c r="A79" s="4">
        <v>35765</v>
      </c>
      <c r="B79" s="7">
        <v>1.602061</v>
      </c>
    </row>
    <row r="80" spans="1:2">
      <c r="A80" s="4">
        <v>35796</v>
      </c>
      <c r="B80" s="7">
        <v>1.6099110000000001</v>
      </c>
    </row>
    <row r="81" spans="1:2">
      <c r="A81" s="4">
        <v>35827</v>
      </c>
      <c r="B81" s="7">
        <v>1.6186039999999999</v>
      </c>
    </row>
    <row r="82" spans="1:2">
      <c r="A82" s="4">
        <v>35855</v>
      </c>
      <c r="B82" s="7">
        <v>1.6289629999999999</v>
      </c>
    </row>
    <row r="83" spans="1:2">
      <c r="A83" s="4">
        <v>35886</v>
      </c>
      <c r="B83" s="7">
        <v>1.6353150000000001</v>
      </c>
    </row>
    <row r="84" spans="1:2">
      <c r="A84" s="4">
        <v>35916</v>
      </c>
      <c r="B84" s="7">
        <v>1.6389119999999999</v>
      </c>
    </row>
    <row r="85" spans="1:2">
      <c r="A85" s="4">
        <v>35947</v>
      </c>
      <c r="B85" s="7">
        <v>1.6456310000000001</v>
      </c>
    </row>
    <row r="86" spans="1:2">
      <c r="A86" s="4">
        <v>35977</v>
      </c>
      <c r="B86" s="7">
        <v>1.6512260000000001</v>
      </c>
    </row>
    <row r="87" spans="1:2">
      <c r="A87" s="4">
        <v>36008</v>
      </c>
      <c r="B87" s="7">
        <v>1.6494089999999999</v>
      </c>
    </row>
    <row r="88" spans="1:2">
      <c r="A88" s="4">
        <v>36039</v>
      </c>
      <c r="B88" s="7">
        <v>1.6433059999999999</v>
      </c>
    </row>
    <row r="89" spans="1:2">
      <c r="A89" s="4">
        <v>36069</v>
      </c>
      <c r="B89" s="7">
        <v>1.6360749999999999</v>
      </c>
    </row>
    <row r="90" spans="1:2">
      <c r="A90" s="4">
        <v>36100</v>
      </c>
      <c r="B90" s="7">
        <v>1.6362380000000001</v>
      </c>
    </row>
    <row r="91" spans="1:2">
      <c r="A91" s="4">
        <v>36130</v>
      </c>
      <c r="B91" s="7">
        <v>1.6344380000000001</v>
      </c>
    </row>
    <row r="92" spans="1:2">
      <c r="A92" s="4">
        <v>36161</v>
      </c>
      <c r="B92" s="7">
        <v>1.6365620000000001</v>
      </c>
    </row>
    <row r="93" spans="1:2">
      <c r="A93" s="4">
        <v>36192</v>
      </c>
      <c r="B93" s="7">
        <v>1.6476900000000001</v>
      </c>
    </row>
    <row r="94" spans="1:2">
      <c r="A94" s="4">
        <v>36220</v>
      </c>
      <c r="B94" s="7">
        <v>1.6582349999999999</v>
      </c>
    </row>
    <row r="95" spans="1:2">
      <c r="A95" s="4">
        <v>36251</v>
      </c>
      <c r="B95" s="7">
        <v>1.6784650000000001</v>
      </c>
    </row>
    <row r="96" spans="1:2">
      <c r="A96" s="4">
        <v>36281</v>
      </c>
      <c r="B96" s="7">
        <v>1.691557</v>
      </c>
    </row>
    <row r="97" spans="1:2">
      <c r="A97" s="4">
        <v>36312</v>
      </c>
      <c r="B97" s="7">
        <v>1.700183</v>
      </c>
    </row>
    <row r="98" spans="1:2">
      <c r="A98" s="4">
        <v>36342</v>
      </c>
      <c r="B98" s="7">
        <v>1.6998420000000001</v>
      </c>
    </row>
    <row r="99" spans="1:2">
      <c r="A99" s="4">
        <v>36373</v>
      </c>
      <c r="B99" s="7">
        <v>1.7132700000000001</v>
      </c>
    </row>
    <row r="100" spans="1:2">
      <c r="A100" s="4">
        <v>36404</v>
      </c>
      <c r="B100" s="7">
        <v>1.727147</v>
      </c>
    </row>
    <row r="101" spans="1:2">
      <c r="A101" s="4">
        <v>36434</v>
      </c>
      <c r="B101" s="7">
        <v>1.7352639999999999</v>
      </c>
    </row>
    <row r="102" spans="1:2">
      <c r="A102" s="4">
        <v>36465</v>
      </c>
      <c r="B102" s="7">
        <v>1.7491460000000001</v>
      </c>
    </row>
    <row r="103" spans="1:2">
      <c r="A103" s="4">
        <v>36495</v>
      </c>
      <c r="B103" s="7">
        <v>1.766462</v>
      </c>
    </row>
    <row r="104" spans="1:2">
      <c r="A104" s="4">
        <v>36526</v>
      </c>
      <c r="B104" s="7">
        <v>1.7825359999999999</v>
      </c>
    </row>
    <row r="105" spans="1:2">
      <c r="A105" s="4">
        <v>36557</v>
      </c>
      <c r="B105" s="7">
        <v>1.794122</v>
      </c>
    </row>
    <row r="106" spans="1:2">
      <c r="A106" s="4">
        <v>36586</v>
      </c>
      <c r="B106" s="7">
        <v>1.800222</v>
      </c>
    </row>
    <row r="107" spans="1:2">
      <c r="A107" s="4">
        <v>36617</v>
      </c>
      <c r="B107" s="7">
        <v>1.8018419999999999</v>
      </c>
    </row>
    <row r="108" spans="1:2">
      <c r="A108" s="4">
        <v>36647</v>
      </c>
      <c r="B108" s="7">
        <v>1.8103100000000001</v>
      </c>
    </row>
    <row r="109" spans="1:2">
      <c r="A109" s="4">
        <v>36678</v>
      </c>
      <c r="B109" s="7">
        <v>1.811939</v>
      </c>
    </row>
    <row r="110" spans="1:2">
      <c r="A110" s="4">
        <v>36708</v>
      </c>
      <c r="B110" s="7">
        <v>1.813388</v>
      </c>
    </row>
    <row r="111" spans="1:2">
      <c r="A111" s="4">
        <v>36739</v>
      </c>
      <c r="B111" s="7">
        <v>1.8275319999999999</v>
      </c>
    </row>
    <row r="112" spans="1:2">
      <c r="A112" s="4">
        <v>36770</v>
      </c>
      <c r="B112" s="7">
        <v>1.863899</v>
      </c>
    </row>
    <row r="113" spans="1:2">
      <c r="A113" s="4">
        <v>36800</v>
      </c>
      <c r="B113" s="7">
        <v>1.8722859999999999</v>
      </c>
    </row>
    <row r="114" spans="1:2">
      <c r="A114" s="4">
        <v>36831</v>
      </c>
      <c r="B114" s="7">
        <v>1.875656</v>
      </c>
    </row>
    <row r="115" spans="1:2">
      <c r="A115" s="4">
        <v>36861</v>
      </c>
      <c r="B115" s="7">
        <v>1.878844</v>
      </c>
    </row>
    <row r="116" spans="1:2">
      <c r="A116" s="4">
        <v>36892</v>
      </c>
      <c r="B116" s="7">
        <v>1.890117</v>
      </c>
    </row>
    <row r="117" spans="1:2">
      <c r="A117" s="4">
        <v>36923</v>
      </c>
      <c r="B117" s="7">
        <v>1.9020239999999999</v>
      </c>
    </row>
    <row r="118" spans="1:2">
      <c r="A118" s="4">
        <v>36951</v>
      </c>
      <c r="B118" s="7">
        <v>1.9115340000000001</v>
      </c>
    </row>
    <row r="119" spans="1:2">
      <c r="A119" s="4">
        <v>36982</v>
      </c>
      <c r="B119" s="7">
        <v>1.918415</v>
      </c>
    </row>
    <row r="120" spans="1:2">
      <c r="A120" s="4">
        <v>37012</v>
      </c>
      <c r="B120" s="7">
        <v>1.928007</v>
      </c>
    </row>
    <row r="121" spans="1:2">
      <c r="A121" s="4">
        <v>37043</v>
      </c>
      <c r="B121" s="7">
        <v>1.937454</v>
      </c>
    </row>
    <row r="122" spans="1:2">
      <c r="A122" s="4">
        <v>37073</v>
      </c>
      <c r="B122" s="7">
        <v>1.9448160000000001</v>
      </c>
    </row>
    <row r="123" spans="1:2">
      <c r="A123" s="4">
        <v>37104</v>
      </c>
      <c r="B123" s="7">
        <v>1.9630970000000001</v>
      </c>
    </row>
    <row r="124" spans="1:2">
      <c r="A124" s="4">
        <v>37135</v>
      </c>
      <c r="B124" s="7">
        <v>1.9862610000000001</v>
      </c>
    </row>
    <row r="125" spans="1:2">
      <c r="A125" s="4">
        <v>37165</v>
      </c>
      <c r="B125" s="7">
        <v>1.993808</v>
      </c>
    </row>
    <row r="126" spans="1:2">
      <c r="A126" s="4">
        <v>37196</v>
      </c>
      <c r="B126" s="7">
        <v>2.001185</v>
      </c>
    </row>
    <row r="127" spans="1:2">
      <c r="A127" s="4">
        <v>37226</v>
      </c>
      <c r="B127" s="7">
        <v>2.0209959999999998</v>
      </c>
    </row>
    <row r="128" spans="1:2">
      <c r="A128" s="4">
        <v>37257</v>
      </c>
      <c r="B128" s="7">
        <v>2.032111</v>
      </c>
    </row>
    <row r="129" spans="1:2">
      <c r="A129" s="4">
        <v>37288</v>
      </c>
      <c r="B129" s="7">
        <v>2.0447099999999998</v>
      </c>
    </row>
    <row r="130" spans="1:2">
      <c r="A130" s="4">
        <v>37316</v>
      </c>
      <c r="B130" s="7">
        <v>2.053706</v>
      </c>
    </row>
    <row r="131" spans="1:2">
      <c r="A131" s="4">
        <v>37347</v>
      </c>
      <c r="B131" s="7">
        <v>2.0619200000000002</v>
      </c>
    </row>
    <row r="132" spans="1:2">
      <c r="A132" s="4">
        <v>37377</v>
      </c>
      <c r="B132" s="7">
        <v>2.0780020000000001</v>
      </c>
    </row>
    <row r="133" spans="1:2">
      <c r="A133" s="4">
        <v>37408</v>
      </c>
      <c r="B133" s="7">
        <v>2.0867290000000001</v>
      </c>
    </row>
    <row r="134" spans="1:2">
      <c r="A134" s="4">
        <v>37438</v>
      </c>
      <c r="B134" s="7">
        <v>2.0936149999999998</v>
      </c>
    </row>
    <row r="135" spans="1:2">
      <c r="A135" s="4">
        <v>37469</v>
      </c>
      <c r="B135" s="7">
        <v>2.1097350000000001</v>
      </c>
    </row>
    <row r="136" spans="1:2">
      <c r="A136" s="4">
        <v>37500</v>
      </c>
      <c r="B136" s="7">
        <v>2.1308319999999998</v>
      </c>
    </row>
    <row r="137" spans="1:2">
      <c r="A137" s="4">
        <v>37530</v>
      </c>
      <c r="B137" s="7">
        <v>2.1440429999999999</v>
      </c>
    </row>
    <row r="138" spans="1:2">
      <c r="A138" s="4">
        <v>37561</v>
      </c>
      <c r="B138" s="7">
        <v>2.1633390000000001</v>
      </c>
    </row>
    <row r="139" spans="1:2">
      <c r="A139" s="4">
        <v>37591</v>
      </c>
      <c r="B139" s="7">
        <v>2.2083360000000001</v>
      </c>
    </row>
    <row r="140" spans="1:2">
      <c r="A140" s="4">
        <v>37622</v>
      </c>
      <c r="B140" s="7">
        <v>2.27569</v>
      </c>
    </row>
    <row r="141" spans="1:2">
      <c r="A141" s="4">
        <v>37653</v>
      </c>
      <c r="B141" s="7">
        <v>2.320748</v>
      </c>
    </row>
    <row r="142" spans="1:2">
      <c r="A142" s="4">
        <v>37681</v>
      </c>
      <c r="B142" s="7">
        <v>2.371572</v>
      </c>
    </row>
    <row r="143" spans="1:2">
      <c r="A143" s="4">
        <v>37712</v>
      </c>
      <c r="B143" s="7">
        <v>2.3986070000000002</v>
      </c>
    </row>
    <row r="144" spans="1:2">
      <c r="A144" s="4">
        <v>37742</v>
      </c>
      <c r="B144" s="7">
        <v>2.425951</v>
      </c>
    </row>
    <row r="145" spans="1:2">
      <c r="A145" s="4">
        <v>37773</v>
      </c>
      <c r="B145" s="7">
        <v>2.4465710000000001</v>
      </c>
    </row>
    <row r="146" spans="1:2">
      <c r="A146" s="4">
        <v>37803</v>
      </c>
      <c r="B146" s="7">
        <v>2.451953</v>
      </c>
    </row>
    <row r="147" spans="1:2">
      <c r="A147" s="4">
        <v>37834</v>
      </c>
      <c r="B147" s="7">
        <v>2.4475389999999999</v>
      </c>
    </row>
    <row r="148" spans="1:2">
      <c r="A148" s="4">
        <v>37865</v>
      </c>
      <c r="B148" s="7">
        <v>2.4541469999999999</v>
      </c>
    </row>
    <row r="149" spans="1:2">
      <c r="A149" s="4">
        <v>37895</v>
      </c>
      <c r="B149" s="7">
        <v>2.4681350000000002</v>
      </c>
    </row>
    <row r="150" spans="1:2">
      <c r="A150" s="4">
        <v>37926</v>
      </c>
      <c r="B150" s="7">
        <v>2.4844240000000002</v>
      </c>
    </row>
    <row r="151" spans="1:2">
      <c r="A151" s="4">
        <v>37956</v>
      </c>
      <c r="B151" s="7">
        <v>2.4886469999999998</v>
      </c>
    </row>
    <row r="152" spans="1:2">
      <c r="A152" s="4">
        <v>37987</v>
      </c>
      <c r="B152" s="7">
        <v>2.5000939999999998</v>
      </c>
    </row>
    <row r="153" spans="1:2">
      <c r="A153" s="4">
        <v>38018</v>
      </c>
      <c r="B153" s="7">
        <v>2.5170940000000002</v>
      </c>
    </row>
    <row r="154" spans="1:2">
      <c r="A154" s="4">
        <v>38047</v>
      </c>
      <c r="B154" s="7">
        <v>2.5397470000000002</v>
      </c>
    </row>
    <row r="155" spans="1:2">
      <c r="A155" s="4">
        <v>38078</v>
      </c>
      <c r="B155" s="7">
        <v>2.5499049999999999</v>
      </c>
    </row>
    <row r="156" spans="1:2">
      <c r="A156" s="4">
        <v>38108</v>
      </c>
      <c r="B156" s="7">
        <v>2.5552589999999999</v>
      </c>
    </row>
    <row r="157" spans="1:2">
      <c r="A157" s="4">
        <v>38139</v>
      </c>
      <c r="B157" s="7">
        <v>2.5690569999999999</v>
      </c>
    </row>
    <row r="158" spans="1:2">
      <c r="A158" s="4">
        <v>38169</v>
      </c>
      <c r="B158" s="7">
        <v>2.5834429999999999</v>
      </c>
    </row>
    <row r="159" spans="1:2">
      <c r="A159" s="4">
        <v>38200</v>
      </c>
      <c r="B159" s="7">
        <v>2.607469</v>
      </c>
    </row>
    <row r="160" spans="1:2">
      <c r="A160" s="4">
        <v>38231</v>
      </c>
      <c r="B160" s="7">
        <v>2.6280679999999998</v>
      </c>
    </row>
    <row r="161" spans="1:2">
      <c r="A161" s="4">
        <v>38261</v>
      </c>
      <c r="B161" s="7">
        <v>2.6409449999999999</v>
      </c>
    </row>
    <row r="162" spans="1:2">
      <c r="A162" s="4">
        <v>38292</v>
      </c>
      <c r="B162" s="7">
        <v>2.6493959999999999</v>
      </c>
    </row>
    <row r="163" spans="1:2">
      <c r="A163" s="4">
        <v>38322</v>
      </c>
      <c r="B163" s="7">
        <v>2.6660870000000001</v>
      </c>
    </row>
    <row r="164" spans="1:2">
      <c r="A164" s="4">
        <v>38353</v>
      </c>
      <c r="B164" s="7">
        <v>2.688482</v>
      </c>
    </row>
    <row r="165" spans="1:2">
      <c r="A165" s="4">
        <v>38384</v>
      </c>
      <c r="B165" s="7">
        <v>2.706763</v>
      </c>
    </row>
    <row r="166" spans="1:2">
      <c r="A166" s="4">
        <v>38412</v>
      </c>
      <c r="B166" s="7">
        <v>2.7267929999999998</v>
      </c>
    </row>
    <row r="167" spans="1:2">
      <c r="A167" s="4">
        <v>38443</v>
      </c>
      <c r="B167" s="7">
        <v>2.7363360000000001</v>
      </c>
    </row>
    <row r="168" spans="1:2">
      <c r="A168" s="4">
        <v>38473</v>
      </c>
      <c r="B168" s="7">
        <v>2.7565840000000001</v>
      </c>
    </row>
    <row r="169" spans="1:2">
      <c r="A169" s="4">
        <v>38504</v>
      </c>
      <c r="B169" s="7">
        <v>2.7794629999999998</v>
      </c>
    </row>
    <row r="170" spans="1:2">
      <c r="A170" s="4">
        <v>38534</v>
      </c>
      <c r="B170" s="7">
        <v>2.7827980000000001</v>
      </c>
    </row>
    <row r="171" spans="1:2">
      <c r="A171" s="4">
        <v>38565</v>
      </c>
      <c r="B171" s="7">
        <v>2.7858589999999999</v>
      </c>
    </row>
    <row r="172" spans="1:2">
      <c r="A172" s="4">
        <v>38596</v>
      </c>
      <c r="B172" s="7">
        <v>2.7936589999999999</v>
      </c>
    </row>
    <row r="173" spans="1:2">
      <c r="A173" s="4">
        <v>38626</v>
      </c>
      <c r="B173" s="7">
        <v>2.7981280000000002</v>
      </c>
    </row>
    <row r="174" spans="1:2">
      <c r="A174" s="4">
        <v>38657</v>
      </c>
      <c r="B174" s="7">
        <v>2.8137970000000001</v>
      </c>
    </row>
    <row r="175" spans="1:2">
      <c r="A175" s="4">
        <v>38687</v>
      </c>
      <c r="B175" s="7">
        <v>2.835744</v>
      </c>
    </row>
    <row r="176" spans="1:2">
      <c r="A176" s="4">
        <v>38718</v>
      </c>
      <c r="B176" s="7">
        <v>2.8465189999999998</v>
      </c>
    </row>
    <row r="177" spans="1:2">
      <c r="A177" s="4">
        <v>38749</v>
      </c>
      <c r="B177" s="7">
        <v>2.8610359999999999</v>
      </c>
    </row>
    <row r="178" spans="1:2">
      <c r="A178" s="4">
        <v>38777</v>
      </c>
      <c r="B178" s="7">
        <v>2.8759130000000002</v>
      </c>
    </row>
    <row r="179" spans="1:2">
      <c r="A179" s="4">
        <v>38808</v>
      </c>
      <c r="B179" s="7">
        <v>2.8865530000000001</v>
      </c>
    </row>
    <row r="180" spans="1:2">
      <c r="A180" s="4">
        <v>38838</v>
      </c>
      <c r="B180" s="7">
        <v>2.8914599999999999</v>
      </c>
    </row>
    <row r="181" spans="1:2">
      <c r="A181" s="4">
        <v>38869</v>
      </c>
      <c r="B181" s="7">
        <v>2.8992659999999999</v>
      </c>
    </row>
    <row r="182" spans="1:2">
      <c r="A182" s="4">
        <v>38899</v>
      </c>
      <c r="B182" s="7">
        <v>2.894917</v>
      </c>
    </row>
    <row r="183" spans="1:2">
      <c r="A183" s="4">
        <v>38930</v>
      </c>
      <c r="B183" s="7">
        <v>2.8943379999999999</v>
      </c>
    </row>
    <row r="184" spans="1:2">
      <c r="A184" s="4">
        <v>38961</v>
      </c>
      <c r="B184" s="7">
        <v>2.8998370000000002</v>
      </c>
    </row>
    <row r="185" spans="1:2">
      <c r="A185" s="4">
        <v>38991</v>
      </c>
      <c r="B185" s="7">
        <v>2.9012859999999998</v>
      </c>
    </row>
    <row r="186" spans="1:2">
      <c r="A186" s="4">
        <v>39022</v>
      </c>
      <c r="B186" s="7">
        <v>2.9096989999999998</v>
      </c>
    </row>
    <row r="187" spans="1:2">
      <c r="A187" s="4">
        <v>39052</v>
      </c>
      <c r="B187" s="7">
        <v>2.9204639999999999</v>
      </c>
    </row>
    <row r="188" spans="1:2">
      <c r="A188" s="4">
        <v>39083</v>
      </c>
      <c r="B188" s="7">
        <v>2.930685</v>
      </c>
    </row>
    <row r="189" spans="1:2">
      <c r="A189" s="4">
        <v>39114</v>
      </c>
      <c r="B189" s="7">
        <v>2.9459240000000002</v>
      </c>
    </row>
    <row r="190" spans="1:2">
      <c r="A190" s="4">
        <v>39142</v>
      </c>
      <c r="B190" s="7">
        <v>2.9594749999999999</v>
      </c>
    </row>
    <row r="191" spans="1:2">
      <c r="A191" s="4">
        <v>39173</v>
      </c>
      <c r="B191" s="7">
        <v>2.9716079999999998</v>
      </c>
    </row>
    <row r="192" spans="1:2">
      <c r="A192" s="4">
        <v>39203</v>
      </c>
      <c r="B192" s="7">
        <v>2.978145</v>
      </c>
    </row>
    <row r="193" spans="1:2">
      <c r="A193" s="4">
        <v>39234</v>
      </c>
      <c r="B193" s="7">
        <v>2.9858880000000001</v>
      </c>
    </row>
    <row r="194" spans="1:2">
      <c r="A194" s="4">
        <v>39264</v>
      </c>
      <c r="B194" s="7">
        <v>2.9945469999999998</v>
      </c>
    </row>
    <row r="195" spans="1:2">
      <c r="A195" s="4">
        <v>39295</v>
      </c>
      <c r="B195" s="7">
        <v>3.0017330000000002</v>
      </c>
    </row>
    <row r="196" spans="1:2">
      <c r="A196" s="4">
        <v>39326</v>
      </c>
      <c r="B196" s="7">
        <v>3.0143399999999998</v>
      </c>
    </row>
    <row r="197" spans="1:2">
      <c r="A197" s="4">
        <v>39356</v>
      </c>
      <c r="B197" s="7">
        <v>3.0230809999999999</v>
      </c>
    </row>
    <row r="198" spans="1:2">
      <c r="A198" s="4">
        <v>39387</v>
      </c>
      <c r="B198" s="7">
        <v>3.0303360000000001</v>
      </c>
    </row>
    <row r="199" spans="1:2">
      <c r="A199" s="4">
        <v>39417</v>
      </c>
      <c r="B199" s="7">
        <v>3.0373049999999999</v>
      </c>
    </row>
    <row r="200" spans="1:2">
      <c r="A200" s="4">
        <v>39448</v>
      </c>
      <c r="B200" s="7">
        <v>3.0585659999999999</v>
      </c>
    </row>
    <row r="201" spans="1:2">
      <c r="A201" s="4">
        <v>39479</v>
      </c>
      <c r="B201" s="7">
        <v>3.0799750000000001</v>
      </c>
    </row>
    <row r="202" spans="1:2">
      <c r="A202" s="4">
        <v>39508</v>
      </c>
      <c r="B202" s="7">
        <v>3.0996860000000002</v>
      </c>
    </row>
    <row r="203" spans="1:2">
      <c r="A203" s="4">
        <v>39539</v>
      </c>
      <c r="B203" s="7">
        <v>3.1068150000000001</v>
      </c>
    </row>
    <row r="204" spans="1:2">
      <c r="A204" s="4">
        <v>39569</v>
      </c>
      <c r="B204" s="7">
        <v>3.1251449999999998</v>
      </c>
    </row>
    <row r="205" spans="1:2">
      <c r="A205" s="4">
        <v>39600</v>
      </c>
      <c r="B205" s="7">
        <v>3.1426449999999999</v>
      </c>
    </row>
    <row r="206" spans="1:2">
      <c r="A206" s="4">
        <v>39630</v>
      </c>
      <c r="B206" s="7">
        <v>3.170928</v>
      </c>
    </row>
    <row r="207" spans="1:2">
      <c r="A207" s="4">
        <v>39661</v>
      </c>
      <c r="B207" s="7">
        <v>3.1909040000000002</v>
      </c>
    </row>
    <row r="208" spans="1:2">
      <c r="A208" s="4">
        <v>39692</v>
      </c>
      <c r="B208" s="7">
        <v>3.2020719999999998</v>
      </c>
    </row>
    <row r="209" spans="1:2">
      <c r="A209" s="4">
        <v>39722</v>
      </c>
      <c r="B209" s="7">
        <v>3.2103969999999999</v>
      </c>
    </row>
    <row r="210" spans="1:2">
      <c r="A210" s="4">
        <v>39753</v>
      </c>
      <c r="B210" s="7">
        <v>3.2200280000000001</v>
      </c>
    </row>
    <row r="211" spans="1:2">
      <c r="A211" s="4">
        <v>39783</v>
      </c>
      <c r="B211" s="7">
        <v>3.2358060000000002</v>
      </c>
    </row>
    <row r="212" spans="1:2">
      <c r="A212" s="4">
        <v>39814</v>
      </c>
      <c r="B212" s="7">
        <v>3.2451889999999999</v>
      </c>
    </row>
    <row r="213" spans="1:2">
      <c r="A213" s="4">
        <v>39845</v>
      </c>
      <c r="B213" s="7">
        <v>3.2581690000000001</v>
      </c>
    </row>
    <row r="214" spans="1:2">
      <c r="A214" s="4">
        <v>39873</v>
      </c>
      <c r="B214" s="7">
        <v>3.2786949999999999</v>
      </c>
    </row>
    <row r="215" spans="1:2">
      <c r="A215" s="4">
        <v>39904</v>
      </c>
      <c r="B215" s="7">
        <v>3.2823009999999999</v>
      </c>
    </row>
    <row r="216" spans="1:2">
      <c r="A216" s="4">
        <v>39934</v>
      </c>
      <c r="B216" s="7">
        <v>3.294117</v>
      </c>
    </row>
    <row r="217" spans="1:2">
      <c r="A217" s="4">
        <v>39965</v>
      </c>
      <c r="B217" s="7">
        <v>3.3135520000000001</v>
      </c>
    </row>
    <row r="218" spans="1:2">
      <c r="A218" s="4">
        <v>39995</v>
      </c>
      <c r="B218" s="7">
        <v>3.3261430000000001</v>
      </c>
    </row>
    <row r="219" spans="1:2">
      <c r="A219" s="4">
        <v>40026</v>
      </c>
      <c r="B219" s="7">
        <v>3.3334600000000001</v>
      </c>
    </row>
    <row r="220" spans="1:2">
      <c r="A220" s="4">
        <v>40057</v>
      </c>
      <c r="B220" s="7">
        <v>3.341126</v>
      </c>
    </row>
    <row r="221" spans="1:2">
      <c r="A221" s="4">
        <v>40087</v>
      </c>
      <c r="B221" s="7">
        <v>3.3474740000000001</v>
      </c>
    </row>
    <row r="222" spans="1:2">
      <c r="A222" s="4">
        <v>40118</v>
      </c>
      <c r="B222" s="7">
        <v>3.3534989999999998</v>
      </c>
    </row>
    <row r="223" spans="1:2">
      <c r="A223" s="4">
        <v>40148</v>
      </c>
      <c r="B223" s="7">
        <v>3.3682539999999999</v>
      </c>
    </row>
    <row r="224" spans="1:2">
      <c r="A224" s="4">
        <v>40179</v>
      </c>
      <c r="B224" s="7">
        <v>3.3810530000000001</v>
      </c>
    </row>
    <row r="225" spans="1:2">
      <c r="A225" s="4">
        <v>40210</v>
      </c>
      <c r="B225" s="7">
        <v>3.3986339999999999</v>
      </c>
    </row>
    <row r="226" spans="1:2">
      <c r="A226" s="4">
        <v>40238</v>
      </c>
      <c r="B226" s="7">
        <v>3.4305810000000001</v>
      </c>
    </row>
    <row r="227" spans="1:2">
      <c r="A227" s="4">
        <v>40269</v>
      </c>
      <c r="B227" s="7">
        <v>3.449449</v>
      </c>
    </row>
    <row r="228" spans="1:2">
      <c r="A228" s="4">
        <v>40299</v>
      </c>
      <c r="B228" s="7">
        <v>3.4660060000000001</v>
      </c>
    </row>
    <row r="229" spans="1:2">
      <c r="A229" s="4">
        <v>40330</v>
      </c>
      <c r="B229" s="7">
        <v>3.487841</v>
      </c>
    </row>
    <row r="230" spans="1:2">
      <c r="A230" s="4">
        <v>40360</v>
      </c>
      <c r="B230" s="7">
        <v>3.4944670000000002</v>
      </c>
    </row>
    <row r="231" spans="1:2">
      <c r="A231" s="4">
        <v>40391</v>
      </c>
      <c r="B231" s="7">
        <v>3.4913210000000001</v>
      </c>
    </row>
    <row r="232" spans="1:2">
      <c r="A232" s="4">
        <v>40422</v>
      </c>
      <c r="B232" s="7">
        <v>3.4895749999999999</v>
      </c>
    </row>
    <row r="233" spans="1:2">
      <c r="A233" s="4">
        <v>40452</v>
      </c>
      <c r="B233" s="7">
        <v>3.5003920000000002</v>
      </c>
    </row>
    <row r="234" spans="1:2">
      <c r="A234" s="4">
        <v>40483</v>
      </c>
      <c r="B234" s="7">
        <v>3.5220940000000001</v>
      </c>
    </row>
    <row r="235" spans="1:2">
      <c r="A235" s="4">
        <v>40513</v>
      </c>
      <c r="B235" s="7">
        <v>3.552384</v>
      </c>
    </row>
    <row r="236" spans="1:2">
      <c r="A236" s="4">
        <v>40544</v>
      </c>
      <c r="B236" s="7">
        <v>3.5768949999999999</v>
      </c>
    </row>
    <row r="237" spans="1:2">
      <c r="A237" s="4">
        <v>40575</v>
      </c>
      <c r="B237" s="7">
        <v>3.604079</v>
      </c>
    </row>
    <row r="238" spans="1:2">
      <c r="A238" s="4">
        <v>40603</v>
      </c>
      <c r="B238" s="7">
        <v>3.6390380000000002</v>
      </c>
    </row>
    <row r="239" spans="1:2">
      <c r="A239" s="4">
        <v>40634</v>
      </c>
      <c r="B239" s="7">
        <v>3.6608719999999999</v>
      </c>
    </row>
    <row r="240" spans="1:2">
      <c r="A240" s="4">
        <v>40664</v>
      </c>
      <c r="B240" s="7">
        <v>3.68906</v>
      </c>
    </row>
    <row r="241" spans="1:2">
      <c r="A241" s="4">
        <v>40695</v>
      </c>
      <c r="B241" s="7">
        <v>3.7148829999999999</v>
      </c>
    </row>
    <row r="242" spans="1:2">
      <c r="A242" s="4">
        <v>40725</v>
      </c>
      <c r="B242" s="7">
        <v>3.723427</v>
      </c>
    </row>
    <row r="243" spans="1:2">
      <c r="A243" s="4">
        <v>40756</v>
      </c>
      <c r="B243" s="7">
        <v>3.72715</v>
      </c>
    </row>
    <row r="244" spans="1:2">
      <c r="A244" s="4">
        <v>40787</v>
      </c>
      <c r="B244" s="7">
        <v>3.7372130000000001</v>
      </c>
    </row>
    <row r="245" spans="1:2">
      <c r="A245" s="4">
        <v>40817</v>
      </c>
      <c r="B245" s="7">
        <v>3.7570199999999998</v>
      </c>
    </row>
    <row r="246" spans="1:2">
      <c r="A246" s="4">
        <v>40848</v>
      </c>
      <c r="B246" s="7">
        <v>3.772799</v>
      </c>
    </row>
    <row r="247" spans="1:2">
      <c r="A247" s="4">
        <v>40878</v>
      </c>
      <c r="B247" s="7">
        <v>3.7901530000000001</v>
      </c>
    </row>
    <row r="248" spans="1:2">
      <c r="A248" s="4">
        <v>40909</v>
      </c>
      <c r="B248" s="7">
        <v>3.8113769999999998</v>
      </c>
    </row>
    <row r="249" spans="1:2">
      <c r="A249" s="4">
        <v>40940</v>
      </c>
      <c r="B249" s="7">
        <v>3.8361499999999999</v>
      </c>
    </row>
    <row r="250" spans="1:2">
      <c r="A250" s="4">
        <v>40969</v>
      </c>
      <c r="B250" s="7">
        <v>3.856481</v>
      </c>
    </row>
    <row r="251" spans="1:2">
      <c r="A251" s="4">
        <v>41000</v>
      </c>
      <c r="B251" s="7">
        <v>3.8661219999999998</v>
      </c>
    </row>
    <row r="252" spans="1:2">
      <c r="A252" s="4">
        <v>41030</v>
      </c>
      <c r="B252" s="7">
        <v>3.882746</v>
      </c>
    </row>
    <row r="253" spans="1:2">
      <c r="A253" s="4">
        <v>41061</v>
      </c>
      <c r="B253" s="7">
        <v>3.9025479999999999</v>
      </c>
    </row>
    <row r="254" spans="1:2">
      <c r="A254" s="4">
        <v>41091</v>
      </c>
      <c r="B254" s="7">
        <v>3.9095719999999998</v>
      </c>
    </row>
    <row r="255" spans="1:2">
      <c r="A255" s="4">
        <v>41122</v>
      </c>
      <c r="B255" s="7">
        <v>3.9224730000000001</v>
      </c>
    </row>
    <row r="256" spans="1:2">
      <c r="A256" s="4">
        <v>41153</v>
      </c>
      <c r="B256" s="7">
        <v>3.93777</v>
      </c>
    </row>
    <row r="257" spans="1:2">
      <c r="A257" s="4">
        <v>41183</v>
      </c>
      <c r="B257" s="7">
        <v>3.956671</v>
      </c>
    </row>
    <row r="258" spans="1:2">
      <c r="A258" s="4">
        <v>41214</v>
      </c>
      <c r="B258" s="7">
        <v>3.982389</v>
      </c>
    </row>
    <row r="259" spans="1:2">
      <c r="A259" s="4">
        <v>41244</v>
      </c>
      <c r="B259" s="7">
        <v>4.0038929999999997</v>
      </c>
    </row>
    <row r="260" spans="1:2">
      <c r="A260" s="4">
        <v>41275</v>
      </c>
      <c r="B260" s="7">
        <v>4.0315190000000003</v>
      </c>
    </row>
    <row r="261" spans="1:2">
      <c r="A261" s="4">
        <v>41306</v>
      </c>
      <c r="B261" s="7">
        <v>4.0669959999999996</v>
      </c>
    </row>
    <row r="262" spans="1:2">
      <c r="A262" s="4">
        <v>41334</v>
      </c>
      <c r="B262" s="7">
        <v>4.0946509999999998</v>
      </c>
    </row>
    <row r="263" spans="1:2">
      <c r="A263" s="4">
        <v>41365</v>
      </c>
      <c r="B263" s="7">
        <v>4.1147140000000002</v>
      </c>
    </row>
    <row r="264" spans="1:2">
      <c r="A264" s="4">
        <v>41395</v>
      </c>
      <c r="B264" s="7">
        <v>4.1356989999999998</v>
      </c>
    </row>
    <row r="265" spans="1:2">
      <c r="A265" s="4">
        <v>41426</v>
      </c>
      <c r="B265" s="7">
        <v>4.1547229999999997</v>
      </c>
    </row>
    <row r="266" spans="1:2">
      <c r="A266" s="4">
        <v>41456</v>
      </c>
      <c r="B266" s="7">
        <v>4.1705100000000002</v>
      </c>
    </row>
    <row r="267" spans="1:2">
      <c r="A267" s="4">
        <v>41487</v>
      </c>
      <c r="B267" s="7">
        <v>4.1734289999999996</v>
      </c>
    </row>
    <row r="268" spans="1:2">
      <c r="A268" s="4">
        <v>41518</v>
      </c>
      <c r="B268" s="7">
        <v>4.1801060000000003</v>
      </c>
    </row>
    <row r="269" spans="1:2">
      <c r="A269" s="4">
        <v>41548</v>
      </c>
      <c r="B269" s="7">
        <v>4.1913919999999996</v>
      </c>
    </row>
    <row r="270" spans="1:2">
      <c r="A270" s="4">
        <v>41579</v>
      </c>
      <c r="B270" s="7">
        <v>4.2115099999999996</v>
      </c>
    </row>
    <row r="271" spans="1:2">
      <c r="A271" s="4">
        <v>41609</v>
      </c>
      <c r="B271" s="7">
        <v>4.2355150000000004</v>
      </c>
    </row>
    <row r="272" spans="1:2">
      <c r="A272" s="4">
        <v>41640</v>
      </c>
      <c r="B272" s="7">
        <v>4.2672809999999997</v>
      </c>
    </row>
    <row r="273" spans="1:2">
      <c r="A273" s="4">
        <v>41671</v>
      </c>
      <c r="B273" s="7">
        <v>4.295871</v>
      </c>
    </row>
    <row r="274" spans="1:2">
      <c r="A274" s="4">
        <v>41699</v>
      </c>
      <c r="B274" s="7">
        <v>4.3259420000000004</v>
      </c>
    </row>
    <row r="275" spans="1:2">
      <c r="A275" s="4">
        <v>41730</v>
      </c>
      <c r="B275" s="7">
        <v>4.3575210000000002</v>
      </c>
    </row>
    <row r="276" spans="1:2">
      <c r="A276" s="4">
        <v>41760</v>
      </c>
      <c r="B276" s="7">
        <v>4.3915090000000001</v>
      </c>
    </row>
    <row r="277" spans="1:2">
      <c r="A277" s="4">
        <v>41791</v>
      </c>
      <c r="B277" s="7">
        <v>4.4169790000000004</v>
      </c>
    </row>
    <row r="278" spans="1:2">
      <c r="A278" s="4">
        <v>41821</v>
      </c>
      <c r="B278" s="7">
        <v>4.4377380000000004</v>
      </c>
    </row>
    <row r="279" spans="1:2">
      <c r="A279" s="4">
        <v>41852</v>
      </c>
      <c r="B279" s="7">
        <v>4.4452819999999997</v>
      </c>
    </row>
    <row r="280" spans="1:2">
      <c r="A280" s="4">
        <v>41883</v>
      </c>
      <c r="B280" s="7">
        <v>4.451505</v>
      </c>
    </row>
    <row r="281" spans="1:2">
      <c r="A281" s="4">
        <v>41913</v>
      </c>
      <c r="B281" s="7">
        <v>4.4688650000000001</v>
      </c>
    </row>
    <row r="282" spans="1:2">
      <c r="A282" s="4">
        <v>41944</v>
      </c>
      <c r="B282" s="7">
        <v>4.4903149999999998</v>
      </c>
    </row>
    <row r="283" spans="1:2">
      <c r="A283" s="4">
        <v>41974</v>
      </c>
      <c r="B283" s="7">
        <v>4.5073780000000001</v>
      </c>
    </row>
    <row r="284" spans="1:2">
      <c r="A284" s="4">
        <v>42005</v>
      </c>
      <c r="B284" s="7">
        <v>4.542986</v>
      </c>
    </row>
    <row r="285" spans="1:2">
      <c r="A285" s="4">
        <v>42036</v>
      </c>
      <c r="B285" s="7">
        <v>4.583418</v>
      </c>
    </row>
    <row r="286" spans="1:2">
      <c r="A286" s="4">
        <v>42064</v>
      </c>
      <c r="B286" s="7">
        <v>4.6443770000000004</v>
      </c>
    </row>
    <row r="287" spans="1:2">
      <c r="A287" s="4">
        <v>42095</v>
      </c>
      <c r="B287" s="7">
        <v>4.7019669999999998</v>
      </c>
    </row>
    <row r="288" spans="1:2">
      <c r="A288" s="4">
        <v>42125</v>
      </c>
      <c r="B288" s="7">
        <v>4.7522779999999996</v>
      </c>
    </row>
    <row r="289" spans="1:2">
      <c r="A289" s="4">
        <v>42156</v>
      </c>
      <c r="B289" s="7">
        <v>4.7807909999999998</v>
      </c>
    </row>
    <row r="290" spans="1:2">
      <c r="A290" s="4">
        <v>42186</v>
      </c>
      <c r="B290" s="7">
        <v>4.8281200000000002</v>
      </c>
    </row>
    <row r="291" spans="1:2">
      <c r="A291" s="4">
        <v>42217</v>
      </c>
      <c r="B291" s="7">
        <v>4.8566050000000001</v>
      </c>
    </row>
    <row r="292" spans="1:2">
      <c r="A292" s="4">
        <v>42248</v>
      </c>
      <c r="B292" s="7">
        <v>4.8774879999999996</v>
      </c>
    </row>
    <row r="293" spans="1:2">
      <c r="A293" s="4">
        <v>42278</v>
      </c>
      <c r="B293" s="7">
        <v>4.8965100000000001</v>
      </c>
    </row>
    <row r="294" spans="1:2">
      <c r="A294" s="4">
        <v>42309</v>
      </c>
      <c r="B294" s="7">
        <v>4.9288259999999999</v>
      </c>
    </row>
    <row r="295" spans="1:2">
      <c r="A295" s="4">
        <v>42339</v>
      </c>
      <c r="B295" s="7">
        <v>4.9707210000000002</v>
      </c>
    </row>
    <row r="296" spans="1:2">
      <c r="A296" s="4">
        <v>42370</v>
      </c>
      <c r="B296" s="7">
        <v>5.0293749999999999</v>
      </c>
    </row>
    <row r="297" spans="1:2">
      <c r="A297" s="4">
        <v>42401</v>
      </c>
      <c r="B297" s="7">
        <v>5.0756449999999997</v>
      </c>
    </row>
    <row r="298" spans="1:2">
      <c r="A298" s="4">
        <v>42430</v>
      </c>
      <c r="B298" s="7">
        <v>5.1477190000000004</v>
      </c>
    </row>
    <row r="299" spans="1:2">
      <c r="A299" s="4">
        <v>42461</v>
      </c>
      <c r="B299" s="7">
        <v>5.1698539999999999</v>
      </c>
    </row>
    <row r="300" spans="1:2">
      <c r="A300" s="4">
        <v>42491</v>
      </c>
      <c r="B300" s="7">
        <v>5.1962200000000003</v>
      </c>
    </row>
    <row r="301" spans="1:2">
      <c r="A301" s="4">
        <v>42522</v>
      </c>
      <c r="B301" s="7">
        <v>5.240907</v>
      </c>
    </row>
    <row r="302" spans="1:2">
      <c r="A302" s="4">
        <v>42552</v>
      </c>
      <c r="B302" s="7">
        <v>5.26187</v>
      </c>
    </row>
    <row r="303" spans="1:2">
      <c r="A303" s="4">
        <v>42583</v>
      </c>
      <c r="B303" s="7">
        <v>5.2902839999999998</v>
      </c>
    </row>
    <row r="304" spans="1:2">
      <c r="A304" s="4">
        <v>42614</v>
      </c>
      <c r="B304" s="7">
        <v>5.3140900000000002</v>
      </c>
    </row>
    <row r="305" spans="1:2">
      <c r="A305" s="4">
        <v>42644</v>
      </c>
      <c r="B305" s="7">
        <v>5.3263119999999997</v>
      </c>
    </row>
    <row r="306" spans="1:2">
      <c r="A306" s="4">
        <v>42675</v>
      </c>
      <c r="B306" s="7">
        <v>5.3364310000000001</v>
      </c>
    </row>
    <row r="307" spans="1:2">
      <c r="A307" s="4">
        <v>42705</v>
      </c>
      <c r="B307" s="7">
        <v>5.3503049999999996</v>
      </c>
    </row>
    <row r="308" spans="1:2">
      <c r="A308" s="4">
        <v>42736</v>
      </c>
      <c r="B308" s="7">
        <v>5.3604700000000003</v>
      </c>
    </row>
    <row r="309" spans="1:2">
      <c r="A309" s="4">
        <v>42767</v>
      </c>
      <c r="B309" s="7">
        <v>5.3770870000000004</v>
      </c>
    </row>
    <row r="310" spans="1:2">
      <c r="A310" s="4">
        <v>42795</v>
      </c>
      <c r="B310" s="7">
        <v>5.406123</v>
      </c>
    </row>
    <row r="311" spans="1:2">
      <c r="A311" s="4">
        <v>42826</v>
      </c>
      <c r="B311" s="7">
        <v>5.4142320000000002</v>
      </c>
    </row>
    <row r="312" spans="1:2">
      <c r="A312" s="4">
        <v>42856</v>
      </c>
      <c r="B312" s="7">
        <v>5.4256010000000003</v>
      </c>
    </row>
    <row r="313" spans="1:2">
      <c r="A313" s="4">
        <v>42887</v>
      </c>
      <c r="B313" s="7">
        <v>5.4386219999999996</v>
      </c>
    </row>
    <row r="314" spans="1:2">
      <c r="A314" s="4">
        <v>42917</v>
      </c>
      <c r="B314" s="7">
        <v>5.4473229999999999</v>
      </c>
    </row>
    <row r="315" spans="1:2">
      <c r="A315" s="4">
        <v>42948</v>
      </c>
      <c r="B315" s="7">
        <v>5.4375169999999997</v>
      </c>
    </row>
    <row r="316" spans="1:2">
      <c r="A316" s="4">
        <v>42979</v>
      </c>
      <c r="B316" s="7">
        <v>5.4565479999999997</v>
      </c>
    </row>
    <row r="317" spans="1:2">
      <c r="A317" s="4">
        <v>43009</v>
      </c>
      <c r="B317" s="7">
        <v>5.4625500000000002</v>
      </c>
    </row>
    <row r="318" spans="1:2">
      <c r="A318" s="4">
        <v>43040</v>
      </c>
      <c r="B318" s="7">
        <v>5.481122</v>
      </c>
    </row>
    <row r="319" spans="1:2">
      <c r="A319" s="4">
        <v>43070</v>
      </c>
      <c r="B319" s="7">
        <v>5.4986610000000002</v>
      </c>
    </row>
    <row r="320" spans="1:2">
      <c r="A320" s="4">
        <v>43101</v>
      </c>
      <c r="B320" s="7">
        <v>5.517906</v>
      </c>
    </row>
    <row r="321" spans="1:2">
      <c r="A321" s="4">
        <v>43132</v>
      </c>
      <c r="B321" s="7">
        <v>5.5394249999999996</v>
      </c>
    </row>
    <row r="322" spans="1:2">
      <c r="A322" s="4">
        <v>43160</v>
      </c>
      <c r="B322" s="7">
        <v>5.5604740000000001</v>
      </c>
    </row>
    <row r="323" spans="1:2">
      <c r="A323" s="4">
        <v>43191</v>
      </c>
      <c r="B323" s="7">
        <v>5.5660340000000001</v>
      </c>
    </row>
    <row r="324" spans="1:2">
      <c r="A324" s="4">
        <v>43221</v>
      </c>
      <c r="B324" s="7">
        <v>5.5777219999999996</v>
      </c>
    </row>
    <row r="325" spans="1:2">
      <c r="A325" s="4">
        <v>43252</v>
      </c>
      <c r="B325" s="7">
        <v>5.5855300000000003</v>
      </c>
    </row>
    <row r="326" spans="1:2">
      <c r="A326" s="4">
        <v>43282</v>
      </c>
      <c r="B326" s="7">
        <v>5.6475289999999996</v>
      </c>
    </row>
    <row r="327" spans="1:2">
      <c r="A327" s="4">
        <v>43313</v>
      </c>
      <c r="B327" s="7">
        <v>5.6836729999999998</v>
      </c>
    </row>
    <row r="328" spans="1:2">
      <c r="A328" s="4">
        <v>43344</v>
      </c>
      <c r="B328" s="7">
        <v>5.6910610000000004</v>
      </c>
    </row>
    <row r="329" spans="1:2">
      <c r="A329" s="4">
        <v>43374</v>
      </c>
      <c r="B329" s="7">
        <v>5.6961820000000003</v>
      </c>
    </row>
    <row r="330" spans="1:2">
      <c r="A330" s="4">
        <v>43405</v>
      </c>
      <c r="B330" s="7">
        <v>5.7292189999999996</v>
      </c>
    </row>
    <row r="331" spans="1:2">
      <c r="A331" s="4">
        <v>43435</v>
      </c>
      <c r="B331" s="7">
        <v>5.7401039999999997</v>
      </c>
    </row>
    <row r="332" spans="1:2">
      <c r="A332" s="4">
        <v>43466</v>
      </c>
      <c r="B332" s="7">
        <v>5.7309190000000001</v>
      </c>
    </row>
    <row r="333" spans="1:2">
      <c r="A333" s="4">
        <v>43497</v>
      </c>
      <c r="B333" s="7">
        <v>5.7481109999999997</v>
      </c>
    </row>
    <row r="334" spans="1:2">
      <c r="A334" s="4">
        <v>43525</v>
      </c>
      <c r="B334" s="7">
        <v>5.7676540000000003</v>
      </c>
    </row>
    <row r="335" spans="1:2">
      <c r="A335" s="4">
        <v>43556</v>
      </c>
      <c r="B335" s="7">
        <v>5.7987989999999998</v>
      </c>
    </row>
    <row r="336" spans="1:2">
      <c r="A336" s="4">
        <v>43586</v>
      </c>
      <c r="B336" s="7">
        <v>5.8405500000000004</v>
      </c>
    </row>
    <row r="337" spans="1:14">
      <c r="A337" s="4">
        <v>43617</v>
      </c>
      <c r="B337" s="7">
        <v>5.8609910000000003</v>
      </c>
    </row>
    <row r="338" spans="1:14">
      <c r="A338" s="4">
        <v>43647</v>
      </c>
      <c r="B338" s="7">
        <v>5.8645069999999997</v>
      </c>
    </row>
    <row r="339" spans="1:14">
      <c r="A339" s="4">
        <v>43678</v>
      </c>
      <c r="B339" s="7">
        <v>5.8697850000000003</v>
      </c>
    </row>
    <row r="340" spans="1:14">
      <c r="A340" s="4">
        <v>43709</v>
      </c>
      <c r="B340" s="7">
        <v>5.8744800000000001</v>
      </c>
    </row>
    <row r="341" spans="1:14">
      <c r="A341" s="4">
        <v>43739</v>
      </c>
      <c r="B341" s="7">
        <v>5.8797670000000002</v>
      </c>
    </row>
    <row r="342" spans="1:14">
      <c r="A342" s="4">
        <v>43770</v>
      </c>
      <c r="B342" s="7">
        <v>5.8850579999999999</v>
      </c>
    </row>
    <row r="343" spans="1:14">
      <c r="A343" s="4">
        <v>43800</v>
      </c>
      <c r="B343" s="7">
        <v>5.8932969999999996</v>
      </c>
    </row>
    <row r="344" spans="1:14">
      <c r="A344" s="4">
        <v>43831</v>
      </c>
      <c r="B344" s="7">
        <v>5.9551759999999998</v>
      </c>
    </row>
    <row r="345" spans="1:14">
      <c r="A345" s="4">
        <v>43862</v>
      </c>
      <c r="B345" s="7">
        <v>5.9974569999999998</v>
      </c>
    </row>
    <row r="346" spans="1:14">
      <c r="A346" s="4">
        <v>43891</v>
      </c>
      <c r="B346" s="7">
        <v>6.0106510000000002</v>
      </c>
    </row>
    <row r="347" spans="1:14">
      <c r="A347" s="4">
        <v>43922</v>
      </c>
      <c r="B347" s="7">
        <v>6.0118530000000003</v>
      </c>
    </row>
    <row r="348" spans="1:14">
      <c r="A348" s="4">
        <v>43952</v>
      </c>
      <c r="B348" s="7">
        <v>6.0112509999999997</v>
      </c>
    </row>
    <row r="349" spans="1:14">
      <c r="A349" s="4">
        <v>43983</v>
      </c>
      <c r="B349" s="7">
        <v>5.975784</v>
      </c>
    </row>
    <row r="350" spans="1:14">
      <c r="A350" s="4">
        <v>44013</v>
      </c>
      <c r="B350" s="7">
        <v>5.976979</v>
      </c>
      <c r="K350" t="s">
        <v>99</v>
      </c>
      <c r="L350" t="s">
        <v>100</v>
      </c>
    </row>
    <row r="351" spans="1:14">
      <c r="A351" s="4">
        <v>44044</v>
      </c>
      <c r="B351" s="7">
        <v>5.9949089999999998</v>
      </c>
      <c r="I351" s="138">
        <v>878599.69</v>
      </c>
      <c r="J351" s="138">
        <f>(I351/I352)*I353</f>
        <v>884461.71682889131</v>
      </c>
      <c r="K351" s="138">
        <f>2875.29+2721.53+4803.17+1909.93+2874.07</f>
        <v>15183.99</v>
      </c>
      <c r="L351" s="138"/>
      <c r="M351" s="138">
        <f>SUM(J351:K351)</f>
        <v>899645.7068288913</v>
      </c>
    </row>
    <row r="352" spans="1:14">
      <c r="A352" s="4">
        <v>44075</v>
      </c>
      <c r="B352" s="7">
        <v>6.0086969999999997</v>
      </c>
      <c r="G352" t="s">
        <v>101</v>
      </c>
      <c r="H352" s="76">
        <v>43831</v>
      </c>
      <c r="I352">
        <f>VLOOKUP(H352,$A$8:$B$403,2,0)</f>
        <v>5.9551759999999998</v>
      </c>
      <c r="J352" s="138">
        <f>J351</f>
        <v>884461.71682889131</v>
      </c>
      <c r="K352" s="138">
        <f>'(01.3) POUPANCA'!H287</f>
        <v>14897.245646920002</v>
      </c>
      <c r="L352" s="138">
        <f>((K352/I352)*I353)-K352</f>
        <v>99.394587378958022</v>
      </c>
      <c r="M352" s="138">
        <f>SUM(J352:L352)</f>
        <v>899458.35706319031</v>
      </c>
      <c r="N352" s="28">
        <f>(M352-M351)/M351</f>
        <v>-2.0824838520195341E-4</v>
      </c>
    </row>
    <row r="353" spans="1:9">
      <c r="A353" s="4">
        <v>44105</v>
      </c>
      <c r="B353" s="7">
        <v>6.035736</v>
      </c>
      <c r="G353" t="s">
        <v>102</v>
      </c>
      <c r="H353" s="76">
        <v>44044</v>
      </c>
      <c r="I353">
        <f>VLOOKUP(H353,$A$8:$B$403,2,0)</f>
        <v>5.9949089999999998</v>
      </c>
    </row>
    <row r="354" spans="1:9">
      <c r="A354" s="4">
        <v>44136</v>
      </c>
      <c r="B354" s="7">
        <v>6.0924709999999997</v>
      </c>
    </row>
    <row r="355" spans="1:9">
      <c r="A355" s="4">
        <v>44166</v>
      </c>
      <c r="B355" s="7">
        <v>6.1418200000000001</v>
      </c>
    </row>
    <row r="356" spans="1:9">
      <c r="A356" s="4">
        <v>44197</v>
      </c>
      <c r="B356" s="7">
        <v>6.2069229999999997</v>
      </c>
    </row>
    <row r="357" spans="1:9">
      <c r="A357" s="4">
        <v>44228</v>
      </c>
      <c r="B357" s="7">
        <v>6.2553359999999998</v>
      </c>
      <c r="E357" s="13"/>
    </row>
    <row r="358" spans="1:9">
      <c r="A358" s="4">
        <v>44256</v>
      </c>
      <c r="B358" s="7">
        <v>6.285361</v>
      </c>
    </row>
    <row r="359" spans="1:9">
      <c r="A359" s="4">
        <v>44287</v>
      </c>
      <c r="B359" s="7">
        <v>6.3438140000000001</v>
      </c>
    </row>
    <row r="360" spans="1:9">
      <c r="A360" s="4">
        <v>44317</v>
      </c>
      <c r="B360" s="7">
        <v>6.3818760000000001</v>
      </c>
    </row>
    <row r="361" spans="1:9">
      <c r="A361" s="4">
        <v>44348</v>
      </c>
      <c r="B361" s="7">
        <v>6.4099560000000002</v>
      </c>
    </row>
    <row r="362" spans="1:9">
      <c r="A362" s="4">
        <v>44378</v>
      </c>
      <c r="B362" s="7">
        <v>6.463158</v>
      </c>
      <c r="C362" s="13"/>
    </row>
    <row r="363" spans="1:9">
      <c r="A363" s="4">
        <v>44409</v>
      </c>
      <c r="B363" s="7">
        <v>6.5096920000000003</v>
      </c>
    </row>
    <row r="364" spans="1:9">
      <c r="A364" s="4">
        <v>44440</v>
      </c>
      <c r="B364" s="7">
        <v>6.567628</v>
      </c>
    </row>
    <row r="365" spans="1:9">
      <c r="A365" s="4">
        <v>44470</v>
      </c>
      <c r="B365" s="7">
        <v>6.6424979999999998</v>
      </c>
    </row>
    <row r="366" spans="1:9">
      <c r="A366" s="4">
        <v>44501</v>
      </c>
      <c r="B366" s="7">
        <v>6.722207</v>
      </c>
    </row>
    <row r="367" spans="1:9">
      <c r="A367" s="4">
        <v>44531</v>
      </c>
      <c r="B367" s="7">
        <v>6.8008559999999996</v>
      </c>
      <c r="C367" s="13"/>
    </row>
    <row r="368" spans="1:9">
      <c r="A368" s="4">
        <v>44562</v>
      </c>
      <c r="B368" s="7">
        <v>6.8539019999999997</v>
      </c>
      <c r="C368" s="13"/>
    </row>
    <row r="369" spans="1:2">
      <c r="A369" s="4">
        <v>44593</v>
      </c>
      <c r="B369" s="7">
        <v>6.8936539999999997</v>
      </c>
    </row>
    <row r="370" spans="1:2">
      <c r="A370" s="4">
        <v>44621</v>
      </c>
      <c r="B370" s="7">
        <v>6.9619010000000001</v>
      </c>
    </row>
    <row r="371" spans="1:2">
      <c r="A371" s="4">
        <v>44652</v>
      </c>
      <c r="B371" s="7">
        <v>7.0280389999999997</v>
      </c>
    </row>
    <row r="372" spans="1:2">
      <c r="A372" s="4">
        <v>44682</v>
      </c>
      <c r="B372" s="7">
        <v>7.1496240000000002</v>
      </c>
    </row>
    <row r="373" spans="1:2">
      <c r="A373" s="4">
        <v>44713</v>
      </c>
      <c r="B373" s="7">
        <v>7.1918059999999997</v>
      </c>
    </row>
    <row r="374" spans="1:2">
      <c r="A374" s="4">
        <v>44743</v>
      </c>
      <c r="B374" s="7">
        <v>7.2414290000000001</v>
      </c>
    </row>
    <row r="375" spans="1:2">
      <c r="A375" s="4">
        <v>44774</v>
      </c>
      <c r="B375" s="7">
        <v>7.2508419999999996</v>
      </c>
    </row>
    <row r="376" spans="1:2">
      <c r="A376" s="4">
        <v>44805</v>
      </c>
      <c r="B376" s="7">
        <v>7.1979100000000003</v>
      </c>
    </row>
    <row r="377" spans="1:2">
      <c r="A377" s="4">
        <v>44835</v>
      </c>
      <c r="B377" s="7">
        <v>7.1712769999999999</v>
      </c>
    </row>
    <row r="378" spans="1:2">
      <c r="A378" s="4">
        <v>44866</v>
      </c>
      <c r="B378" s="7">
        <v>7.1827509999999997</v>
      </c>
    </row>
    <row r="379" spans="1:2">
      <c r="A379" s="4">
        <v>44896</v>
      </c>
      <c r="B379" s="7">
        <v>7.2208189999999997</v>
      </c>
    </row>
    <row r="380" spans="1:2">
      <c r="A380" s="11">
        <v>44927</v>
      </c>
      <c r="B380" s="12">
        <v>7.2583669999999998</v>
      </c>
    </row>
    <row r="381" spans="1:2">
      <c r="A381" s="11">
        <v>44958</v>
      </c>
      <c r="B381" s="12">
        <v>7.2982880000000003</v>
      </c>
    </row>
    <row r="382" spans="1:2">
      <c r="A382" s="11">
        <v>44986</v>
      </c>
      <c r="B382" s="12">
        <v>7.3537540000000003</v>
      </c>
    </row>
    <row r="383" spans="1:2">
      <c r="A383" s="11">
        <v>45017</v>
      </c>
      <c r="B383" s="12">
        <v>7.4044939999999997</v>
      </c>
    </row>
    <row r="384" spans="1:2">
      <c r="A384" s="11">
        <v>45047</v>
      </c>
      <c r="B384" s="12">
        <v>7.4466989999999997</v>
      </c>
    </row>
    <row r="385" spans="1:2">
      <c r="A385" s="11">
        <v>45078</v>
      </c>
      <c r="B385" s="12">
        <v>7.4846769999999996</v>
      </c>
    </row>
    <row r="386" spans="1:2">
      <c r="A386" s="11">
        <v>45108</v>
      </c>
      <c r="B386" s="12">
        <v>7.4876699999999996</v>
      </c>
    </row>
    <row r="387" spans="1:2">
      <c r="A387" s="11">
        <v>45139</v>
      </c>
      <c r="B387" s="12">
        <v>7.4824279999999996</v>
      </c>
    </row>
    <row r="388" spans="1:2">
      <c r="A388" s="11">
        <v>45170</v>
      </c>
      <c r="B388" s="12">
        <v>7.5033779999999997</v>
      </c>
    </row>
    <row r="389" spans="1:2">
      <c r="A389" s="11">
        <v>45200</v>
      </c>
      <c r="B389" s="12">
        <v>7.5296390000000004</v>
      </c>
    </row>
    <row r="390" spans="1:2">
      <c r="A390" s="11">
        <v>45231</v>
      </c>
      <c r="B390" s="12">
        <v>7.5454509999999999</v>
      </c>
    </row>
    <row r="391" spans="1:2">
      <c r="A391" s="11">
        <v>45261</v>
      </c>
      <c r="B391" s="12">
        <v>7.5703500000000004</v>
      </c>
    </row>
    <row r="392" spans="1:2">
      <c r="A392" s="9">
        <v>45292</v>
      </c>
      <c r="B392" s="10">
        <v>7.6006309999999999</v>
      </c>
    </row>
    <row r="393" spans="1:2">
      <c r="A393" s="9">
        <v>45323</v>
      </c>
      <c r="B393" s="10">
        <v>7.6241919999999999</v>
      </c>
    </row>
    <row r="394" spans="1:2">
      <c r="A394" s="9">
        <v>45352</v>
      </c>
      <c r="B394" s="10">
        <v>7.6836599999999997</v>
      </c>
    </row>
    <row r="395" spans="1:2">
      <c r="A395" s="9">
        <v>45383</v>
      </c>
      <c r="B395" s="10">
        <v>7.7113209999999999</v>
      </c>
    </row>
    <row r="396" spans="1:2">
      <c r="A396" s="9">
        <v>45413</v>
      </c>
      <c r="B396" s="10">
        <v>7.7275140000000002</v>
      </c>
    </row>
    <row r="397" spans="1:2">
      <c r="A397" s="9">
        <v>45444</v>
      </c>
      <c r="B397" s="10">
        <v>7.7615150000000002</v>
      </c>
    </row>
    <row r="398" spans="1:2">
      <c r="A398" s="9">
        <v>45474</v>
      </c>
      <c r="B398" s="10">
        <v>7.7917839999999998</v>
      </c>
    </row>
    <row r="399" spans="1:2">
      <c r="A399" s="9">
        <v>45505</v>
      </c>
      <c r="B399" s="10">
        <v>7.8151590000000004</v>
      </c>
    </row>
    <row r="400" spans="1:2">
      <c r="A400" s="9">
        <v>45536</v>
      </c>
      <c r="B400" s="10">
        <v>7.8300070000000002</v>
      </c>
    </row>
    <row r="401" spans="1:2">
      <c r="A401" s="9">
        <v>45566</v>
      </c>
      <c r="B401" s="10">
        <v>7.8401860000000001</v>
      </c>
    </row>
    <row r="402" spans="1:2">
      <c r="A402" s="9">
        <v>45597</v>
      </c>
      <c r="B402" s="10">
        <v>7.8825229999999999</v>
      </c>
    </row>
    <row r="403" spans="1:2">
      <c r="A403" s="9">
        <v>45627</v>
      </c>
      <c r="B403" s="10">
        <v>7.9313940000000001</v>
      </c>
    </row>
    <row r="404" spans="1:2">
      <c r="A404" s="11">
        <v>45658</v>
      </c>
      <c r="B404" s="12">
        <v>7.9583599999999999</v>
      </c>
    </row>
    <row r="405" spans="1:2">
      <c r="A405" s="11">
        <f t="shared" ref="A405:A419" si="0">A404+31</f>
        <v>45689</v>
      </c>
      <c r="B405" s="12">
        <v>7.9671139999999996</v>
      </c>
    </row>
    <row r="406" spans="1:2">
      <c r="A406" s="11">
        <f t="shared" si="0"/>
        <v>45720</v>
      </c>
      <c r="B406" s="12">
        <v>8.0651089999999996</v>
      </c>
    </row>
    <row r="407" spans="1:2">
      <c r="A407" s="11">
        <f t="shared" si="0"/>
        <v>45751</v>
      </c>
      <c r="B407" s="12">
        <v>8.1167250000000006</v>
      </c>
    </row>
    <row r="408" spans="1:2">
      <c r="A408" s="11">
        <f t="shared" si="0"/>
        <v>45782</v>
      </c>
      <c r="B408" s="12">
        <v>8.1516260000000003</v>
      </c>
    </row>
    <row r="409" spans="1:2">
      <c r="A409" s="11">
        <f t="shared" si="0"/>
        <v>45813</v>
      </c>
      <c r="B409" s="12">
        <v>8.1809709999999995</v>
      </c>
    </row>
    <row r="410" spans="1:2">
      <c r="A410" s="11">
        <f t="shared" si="0"/>
        <v>45844</v>
      </c>
      <c r="B410" s="12">
        <v>8.2022410000000008</v>
      </c>
    </row>
    <row r="411" spans="1:2">
      <c r="A411" s="11">
        <f t="shared" si="0"/>
        <v>45875</v>
      </c>
      <c r="B411" s="12">
        <v>8.2293079999999996</v>
      </c>
    </row>
    <row r="412" spans="1:2">
      <c r="A412" s="11">
        <f t="shared" si="0"/>
        <v>45906</v>
      </c>
      <c r="B412" s="12">
        <v>8.2177860000000003</v>
      </c>
    </row>
    <row r="413" spans="1:2">
      <c r="A413" s="11">
        <f t="shared" si="0"/>
        <v>45937</v>
      </c>
      <c r="B413" s="12">
        <v>8.2572310000000009</v>
      </c>
    </row>
    <row r="414" spans="1:2">
      <c r="A414" s="11">
        <f t="shared" si="0"/>
        <v>45968</v>
      </c>
      <c r="B414" s="12">
        <v>8.2720939999999992</v>
      </c>
    </row>
    <row r="415" spans="1:2">
      <c r="A415" s="11">
        <f t="shared" si="0"/>
        <v>45999</v>
      </c>
      <c r="B415" s="12">
        <v>8.2886380000000006</v>
      </c>
    </row>
    <row r="416" spans="1:2">
      <c r="A416" s="11">
        <f t="shared" si="0"/>
        <v>46030</v>
      </c>
      <c r="B416" s="12">
        <v>8.3093590000000006</v>
      </c>
    </row>
    <row r="417" spans="1:2">
      <c r="A417" s="11">
        <f t="shared" si="0"/>
        <v>46061</v>
      </c>
      <c r="B417" s="12">
        <v>8.325977</v>
      </c>
    </row>
    <row r="418" spans="1:2">
      <c r="A418" s="11">
        <f t="shared" si="0"/>
        <v>46092</v>
      </c>
      <c r="B418" s="12">
        <v>8.3959150000000005</v>
      </c>
    </row>
    <row r="419" spans="1:2">
      <c r="A419" s="11">
        <f t="shared" si="0"/>
        <v>46123</v>
      </c>
      <c r="B419" s="12">
        <v>8.4328570000000003</v>
      </c>
    </row>
  </sheetData>
  <mergeCells count="1">
    <mergeCell ref="H4:X5"/>
  </mergeCells>
  <conditionalFormatting sqref="A8:B379">
    <cfRule type="expression" dxfId="5" priority="1">
      <formula>ISODD(YEAR($A8))=TRUE</formula>
    </cfRule>
    <cfRule type="expression" dxfId="4" priority="2">
      <formula>ISEVEN(YEAR($A8))=TRUE</formula>
    </cfRule>
  </conditionalFormatting>
  <hyperlinks>
    <hyperlink ref="A6" r:id="rId1" xr:uid="{115FBB6B-179C-4C4E-8EE3-FD294E005A90}"/>
  </hyperlinks>
  <pageMargins left="0.511811024" right="0.511811024" top="0.78740157499999996" bottom="0.78740157499999996" header="0.31496062000000002" footer="0.31496062000000002"/>
  <pageSetup paperSize="9"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BB870-8234-4A19-91C3-0386DD151AA9}">
  <dimension ref="A1:I312"/>
  <sheetViews>
    <sheetView showGridLines="0" topLeftCell="A283" zoomScale="85" zoomScaleNormal="85" workbookViewId="0">
      <selection activeCell="H308" sqref="H308"/>
    </sheetView>
  </sheetViews>
  <sheetFormatPr defaultRowHeight="14.5"/>
  <cols>
    <col min="1" max="1" width="12.54296875" customWidth="1"/>
    <col min="2" max="2" width="11.81640625" bestFit="1" customWidth="1"/>
    <col min="3" max="3" width="18" style="15" bestFit="1" customWidth="1"/>
    <col min="4" max="4" width="15.453125" bestFit="1" customWidth="1"/>
    <col min="5" max="5" width="30" customWidth="1"/>
    <col min="7" max="7" width="12.54296875" bestFit="1" customWidth="1"/>
    <col min="8" max="8" width="10.81640625" bestFit="1" customWidth="1"/>
  </cols>
  <sheetData>
    <row r="1" spans="1:9" ht="20">
      <c r="A1" s="2"/>
      <c r="F1" s="16" t="s">
        <v>83</v>
      </c>
    </row>
    <row r="2" spans="1:9" ht="15">
      <c r="A2" s="3" t="s">
        <v>103</v>
      </c>
      <c r="F2" s="5">
        <v>44681</v>
      </c>
    </row>
    <row r="3" spans="1:9" ht="5.25" customHeight="1">
      <c r="A3" s="3"/>
      <c r="F3" s="5"/>
    </row>
    <row r="4" spans="1:9">
      <c r="A4" s="25" t="s">
        <v>104</v>
      </c>
      <c r="F4" s="5"/>
    </row>
    <row r="5" spans="1:9">
      <c r="A5" s="94" t="s">
        <v>105</v>
      </c>
      <c r="F5" s="5"/>
      <c r="I5">
        <v>100</v>
      </c>
    </row>
    <row r="6" spans="1:9" ht="5.25" customHeight="1" thickBot="1"/>
    <row r="7" spans="1:9" ht="16.5" thickTop="1" thickBot="1">
      <c r="A7" s="17" t="s">
        <v>106</v>
      </c>
      <c r="B7" s="18" t="s">
        <v>107</v>
      </c>
      <c r="C7" s="19" t="s">
        <v>108</v>
      </c>
      <c r="D7" s="19" t="s">
        <v>109</v>
      </c>
      <c r="G7" s="170">
        <v>35431</v>
      </c>
      <c r="H7" s="171">
        <v>1.2477</v>
      </c>
      <c r="I7" s="28">
        <f>H7/$I$5</f>
        <v>1.2477E-2</v>
      </c>
    </row>
    <row r="8" spans="1:9" ht="16.5" thickTop="1" thickBot="1">
      <c r="A8" s="20">
        <v>35461</v>
      </c>
      <c r="B8" s="26">
        <v>1.2477E-2</v>
      </c>
      <c r="C8" s="22"/>
      <c r="D8" s="22"/>
      <c r="F8" s="29"/>
      <c r="G8" s="170">
        <v>35462</v>
      </c>
      <c r="H8" s="171">
        <v>1.1649</v>
      </c>
      <c r="I8" s="28">
        <f t="shared" ref="I8:I18" si="0">H8/$I$5</f>
        <v>1.1649E-2</v>
      </c>
    </row>
    <row r="9" spans="1:9" ht="16" thickBot="1">
      <c r="A9" s="23">
        <v>35489</v>
      </c>
      <c r="B9" s="26">
        <v>1.1649E-2</v>
      </c>
      <c r="C9" s="22"/>
      <c r="D9" s="22"/>
      <c r="F9" s="29"/>
      <c r="G9" s="170">
        <v>35490</v>
      </c>
      <c r="H9" s="171">
        <v>1.1348</v>
      </c>
      <c r="I9" s="28">
        <f t="shared" si="0"/>
        <v>1.1348E-2</v>
      </c>
    </row>
    <row r="10" spans="1:9" ht="16" thickBot="1">
      <c r="A10" s="23">
        <v>35520</v>
      </c>
      <c r="B10" s="26">
        <v>1.1348E-2</v>
      </c>
      <c r="C10" s="22"/>
      <c r="D10" s="22"/>
      <c r="F10" s="29"/>
      <c r="G10" s="170">
        <v>35521</v>
      </c>
      <c r="H10" s="171">
        <v>1.1242000000000001</v>
      </c>
      <c r="I10" s="28">
        <f t="shared" si="0"/>
        <v>1.1242E-2</v>
      </c>
    </row>
    <row r="11" spans="1:9" ht="16" thickBot="1">
      <c r="A11" s="23">
        <v>35550</v>
      </c>
      <c r="B11" s="26">
        <v>1.1242E-2</v>
      </c>
      <c r="C11" s="22"/>
      <c r="D11" s="22"/>
      <c r="F11" s="29"/>
      <c r="G11" s="170">
        <v>35551</v>
      </c>
      <c r="H11" s="171">
        <v>1.1386000000000001</v>
      </c>
      <c r="I11" s="28">
        <f t="shared" si="0"/>
        <v>1.1386E-2</v>
      </c>
    </row>
    <row r="12" spans="1:9" ht="16" thickBot="1">
      <c r="A12" s="23">
        <v>35581</v>
      </c>
      <c r="B12" s="26">
        <v>1.1386E-2</v>
      </c>
      <c r="C12" s="22"/>
      <c r="D12" s="22"/>
      <c r="F12" s="29"/>
      <c r="G12" s="170">
        <v>35582</v>
      </c>
      <c r="H12" s="171">
        <v>1.1568000000000001</v>
      </c>
      <c r="I12" s="28">
        <f t="shared" si="0"/>
        <v>1.1568E-2</v>
      </c>
    </row>
    <row r="13" spans="1:9" ht="16" thickBot="1">
      <c r="A13" s="23">
        <v>35611</v>
      </c>
      <c r="B13" s="26">
        <v>1.1568E-2</v>
      </c>
      <c r="C13" s="22"/>
      <c r="D13" s="22"/>
      <c r="F13" s="29"/>
      <c r="G13" s="170">
        <v>35612</v>
      </c>
      <c r="H13" s="171">
        <v>1.1613</v>
      </c>
      <c r="I13" s="28">
        <f t="shared" si="0"/>
        <v>1.1613E-2</v>
      </c>
    </row>
    <row r="14" spans="1:9" ht="16" thickBot="1">
      <c r="A14" s="23">
        <v>35642</v>
      </c>
      <c r="B14" s="26">
        <v>1.1613E-2</v>
      </c>
      <c r="C14" s="22"/>
      <c r="D14" s="22"/>
      <c r="F14" s="29"/>
      <c r="G14" s="170">
        <v>35643</v>
      </c>
      <c r="H14" s="171">
        <v>1.1301000000000001</v>
      </c>
      <c r="I14" s="28">
        <f t="shared" si="0"/>
        <v>1.1301E-2</v>
      </c>
    </row>
    <row r="15" spans="1:9" ht="16" thickBot="1">
      <c r="A15" s="23">
        <v>35673</v>
      </c>
      <c r="B15" s="26">
        <v>1.1301E-2</v>
      </c>
      <c r="C15" s="22"/>
      <c r="D15" s="22"/>
      <c r="F15" s="29"/>
      <c r="G15" s="170">
        <v>35674</v>
      </c>
      <c r="H15" s="171">
        <v>1.1506000000000001</v>
      </c>
      <c r="I15" s="28">
        <f t="shared" si="0"/>
        <v>1.1506000000000001E-2</v>
      </c>
    </row>
    <row r="16" spans="1:9" ht="16" thickBot="1">
      <c r="A16" s="23">
        <v>35703</v>
      </c>
      <c r="B16" s="26">
        <v>1.1506000000000001E-2</v>
      </c>
      <c r="C16" s="22"/>
      <c r="D16" s="22"/>
      <c r="F16" s="29"/>
      <c r="G16" s="170">
        <v>35704</v>
      </c>
      <c r="H16" s="171">
        <v>1.1586000000000001</v>
      </c>
      <c r="I16" s="28">
        <f t="shared" si="0"/>
        <v>1.1586000000000001E-2</v>
      </c>
    </row>
    <row r="17" spans="1:9" ht="16" thickBot="1">
      <c r="A17" s="23">
        <v>35734</v>
      </c>
      <c r="B17" s="26">
        <v>1.1586000000000001E-2</v>
      </c>
      <c r="C17" s="22"/>
      <c r="D17" s="22"/>
      <c r="F17" s="29"/>
      <c r="G17" s="170">
        <v>35735</v>
      </c>
      <c r="H17" s="171">
        <v>2.0411000000000001</v>
      </c>
      <c r="I17" s="28">
        <f t="shared" si="0"/>
        <v>2.0411000000000002E-2</v>
      </c>
    </row>
    <row r="18" spans="1:9" ht="16" thickBot="1">
      <c r="A18" s="23">
        <v>35764</v>
      </c>
      <c r="B18" s="26">
        <v>2.0411000000000002E-2</v>
      </c>
      <c r="C18" s="22"/>
      <c r="D18" s="22"/>
      <c r="F18" s="29"/>
      <c r="G18" s="170">
        <v>35765</v>
      </c>
      <c r="H18" s="171">
        <v>1.8149999999999999</v>
      </c>
      <c r="I18" s="28">
        <f t="shared" si="0"/>
        <v>1.8149999999999999E-2</v>
      </c>
    </row>
    <row r="19" spans="1:9">
      <c r="A19" s="23">
        <v>35795</v>
      </c>
      <c r="B19" s="26">
        <v>1.8149999999999999E-2</v>
      </c>
      <c r="C19" s="22"/>
      <c r="D19" s="22"/>
      <c r="F19" s="29"/>
    </row>
    <row r="20" spans="1:9">
      <c r="A20" s="20">
        <v>35826</v>
      </c>
      <c r="B20" s="26">
        <v>1.6515999999999999E-2</v>
      </c>
      <c r="C20" s="22"/>
      <c r="D20" s="22"/>
      <c r="F20" s="29"/>
    </row>
    <row r="21" spans="1:9">
      <c r="A21" s="23">
        <v>35854</v>
      </c>
      <c r="B21" s="26">
        <v>9.4830000000000001E-3</v>
      </c>
      <c r="C21" s="22"/>
      <c r="D21" s="22"/>
      <c r="F21" s="29"/>
    </row>
    <row r="22" spans="1:9">
      <c r="A22" s="23">
        <v>35885</v>
      </c>
      <c r="B22" s="26">
        <v>1.4039999999999999E-2</v>
      </c>
      <c r="C22" s="22"/>
      <c r="D22" s="22"/>
      <c r="F22" s="29"/>
    </row>
    <row r="23" spans="1:9">
      <c r="A23" s="23">
        <v>35915</v>
      </c>
      <c r="B23" s="26">
        <v>9.7440000000000009E-3</v>
      </c>
      <c r="C23" s="22"/>
      <c r="D23" s="22"/>
      <c r="F23" s="29"/>
    </row>
    <row r="24" spans="1:9">
      <c r="A24" s="23">
        <v>35946</v>
      </c>
      <c r="B24" s="26">
        <v>9.5659999999999999E-3</v>
      </c>
      <c r="C24" s="22"/>
      <c r="D24" s="22"/>
      <c r="F24" s="29"/>
    </row>
    <row r="25" spans="1:9">
      <c r="A25" s="23">
        <v>35976</v>
      </c>
      <c r="B25" s="26">
        <v>9.9380000000000007E-3</v>
      </c>
      <c r="C25" s="22"/>
      <c r="D25" s="22"/>
      <c r="F25" s="29"/>
    </row>
    <row r="26" spans="1:9">
      <c r="A26" s="23">
        <v>36007</v>
      </c>
      <c r="B26" s="26">
        <v>1.0530999999999999E-2</v>
      </c>
      <c r="C26" s="22"/>
      <c r="D26" s="22"/>
      <c r="F26" s="29"/>
    </row>
    <row r="27" spans="1:9">
      <c r="A27" s="23">
        <v>36038</v>
      </c>
      <c r="B27" s="26">
        <v>8.7679999999999998E-3</v>
      </c>
      <c r="C27" s="22"/>
      <c r="D27" s="22"/>
      <c r="F27" s="29"/>
    </row>
    <row r="28" spans="1:9">
      <c r="A28" s="23">
        <v>36068</v>
      </c>
      <c r="B28" s="26">
        <v>9.5350000000000001E-3</v>
      </c>
      <c r="C28" s="22"/>
      <c r="D28" s="22"/>
      <c r="F28" s="29"/>
    </row>
    <row r="29" spans="1:9">
      <c r="A29" s="23">
        <v>36099</v>
      </c>
      <c r="B29" s="26">
        <v>1.3935999999999999E-2</v>
      </c>
      <c r="C29" s="22"/>
      <c r="D29" s="22"/>
      <c r="F29" s="29"/>
    </row>
    <row r="30" spans="1:9">
      <c r="A30" s="23">
        <v>36129</v>
      </c>
      <c r="B30" s="26">
        <v>1.1167E-2</v>
      </c>
      <c r="C30" s="22"/>
      <c r="D30" s="22"/>
      <c r="F30" s="29"/>
    </row>
    <row r="31" spans="1:9">
      <c r="A31" s="23">
        <v>36160</v>
      </c>
      <c r="B31" s="26">
        <v>1.2471000000000001E-2</v>
      </c>
      <c r="C31" s="22"/>
      <c r="D31" s="22"/>
      <c r="F31" s="29"/>
    </row>
    <row r="32" spans="1:9">
      <c r="A32" s="20">
        <v>36191</v>
      </c>
      <c r="B32" s="26">
        <v>1.0188999999999998E-2</v>
      </c>
      <c r="C32" s="22"/>
      <c r="D32" s="22"/>
      <c r="F32" s="29"/>
    </row>
    <row r="33" spans="1:6">
      <c r="A33" s="23">
        <v>36219</v>
      </c>
      <c r="B33" s="26">
        <v>1.3339E-2</v>
      </c>
      <c r="C33" s="22"/>
      <c r="D33" s="22"/>
      <c r="F33" s="29"/>
    </row>
    <row r="34" spans="1:6">
      <c r="A34" s="23">
        <v>36250</v>
      </c>
      <c r="B34" s="26">
        <v>1.6671999999999999E-2</v>
      </c>
      <c r="C34" s="22"/>
      <c r="D34" s="22"/>
      <c r="F34" s="29"/>
    </row>
    <row r="35" spans="1:6">
      <c r="A35" s="23">
        <v>36280</v>
      </c>
      <c r="B35" s="26">
        <v>1.1122E-2</v>
      </c>
      <c r="C35" s="22"/>
      <c r="D35" s="22"/>
      <c r="F35" s="29"/>
    </row>
    <row r="36" spans="1:6">
      <c r="A36" s="23">
        <v>36311</v>
      </c>
      <c r="B36" s="26">
        <v>1.0789999999999999E-2</v>
      </c>
      <c r="C36" s="22"/>
      <c r="D36" s="22"/>
      <c r="F36" s="29"/>
    </row>
    <row r="37" spans="1:6">
      <c r="A37" s="23">
        <v>36341</v>
      </c>
      <c r="B37" s="26">
        <v>8.1239999999999993E-3</v>
      </c>
      <c r="C37" s="22"/>
      <c r="D37" s="22"/>
      <c r="F37" s="29"/>
    </row>
    <row r="38" spans="1:6">
      <c r="A38" s="23">
        <v>36372</v>
      </c>
      <c r="B38" s="26">
        <v>7.9480000000000002E-3</v>
      </c>
      <c r="C38" s="22"/>
      <c r="D38" s="22"/>
      <c r="F38" s="29"/>
    </row>
    <row r="39" spans="1:6">
      <c r="A39" s="23">
        <v>36403</v>
      </c>
      <c r="B39" s="26">
        <v>7.9600000000000001E-3</v>
      </c>
      <c r="C39" s="22"/>
      <c r="D39" s="22"/>
      <c r="F39" s="29"/>
    </row>
    <row r="40" spans="1:6">
      <c r="A40" s="23">
        <v>36433</v>
      </c>
      <c r="B40" s="26">
        <v>7.7290000000000006E-3</v>
      </c>
      <c r="C40" s="22"/>
      <c r="D40" s="22"/>
      <c r="F40" s="29"/>
    </row>
    <row r="41" spans="1:6">
      <c r="A41" s="23">
        <v>36464</v>
      </c>
      <c r="B41" s="26">
        <v>7.2760000000000003E-3</v>
      </c>
      <c r="C41" s="22"/>
      <c r="D41" s="22"/>
      <c r="F41" s="29"/>
    </row>
    <row r="42" spans="1:6">
      <c r="A42" s="23">
        <v>36494</v>
      </c>
      <c r="B42" s="26">
        <v>7.0079999999999995E-3</v>
      </c>
      <c r="C42" s="22"/>
      <c r="D42" s="22"/>
      <c r="F42" s="29"/>
    </row>
    <row r="43" spans="1:6">
      <c r="A43" s="23">
        <v>36525</v>
      </c>
      <c r="B43" s="26">
        <v>8.0129999999999993E-3</v>
      </c>
      <c r="C43" s="22"/>
      <c r="D43" s="22"/>
      <c r="F43" s="29"/>
    </row>
    <row r="44" spans="1:6">
      <c r="A44" s="20">
        <v>36556</v>
      </c>
      <c r="B44" s="26">
        <v>7.1599999999999997E-3</v>
      </c>
      <c r="C44" s="22">
        <f t="shared" ref="C44:C107" si="1">IF(EOMONTH($F$2,-60)&lt;A44,SUM(B45:B103),0)</f>
        <v>0</v>
      </c>
      <c r="D44" s="22">
        <f>SUM($B44:$B$1038)</f>
        <v>1.5423759999999962</v>
      </c>
      <c r="F44" s="29"/>
    </row>
    <row r="45" spans="1:6">
      <c r="A45" s="23">
        <v>36585</v>
      </c>
      <c r="B45" s="26">
        <v>7.3400000000000002E-3</v>
      </c>
      <c r="C45" s="22">
        <f t="shared" si="1"/>
        <v>0</v>
      </c>
      <c r="D45" s="22">
        <f>SUM($B45:$B$1038)</f>
        <v>1.5352159999999964</v>
      </c>
      <c r="F45" s="29"/>
    </row>
    <row r="46" spans="1:6">
      <c r="A46" s="23">
        <v>36616</v>
      </c>
      <c r="B46" s="26">
        <v>7.252999999999999E-3</v>
      </c>
      <c r="C46" s="22">
        <f t="shared" si="1"/>
        <v>0</v>
      </c>
      <c r="D46" s="22">
        <f>SUM($B46:$B$1038)</f>
        <v>1.5278759999999962</v>
      </c>
      <c r="F46" s="29"/>
    </row>
    <row r="47" spans="1:6">
      <c r="A47" s="23">
        <v>36646</v>
      </c>
      <c r="B47" s="26">
        <v>6.3080000000000002E-3</v>
      </c>
      <c r="C47" s="22">
        <f t="shared" si="1"/>
        <v>0</v>
      </c>
      <c r="D47" s="22">
        <f>SUM($B47:$B$1038)</f>
        <v>1.5206229999999967</v>
      </c>
      <c r="F47" s="29"/>
    </row>
    <row r="48" spans="1:6">
      <c r="A48" s="23">
        <v>36677</v>
      </c>
      <c r="B48" s="26">
        <v>7.5039999999999994E-3</v>
      </c>
      <c r="C48" s="22">
        <f t="shared" si="1"/>
        <v>0</v>
      </c>
      <c r="D48" s="22">
        <f>SUM($B48:$B$1038)</f>
        <v>1.514314999999997</v>
      </c>
      <c r="F48" s="29"/>
    </row>
    <row r="49" spans="1:6">
      <c r="A49" s="23">
        <v>36707</v>
      </c>
      <c r="B49" s="26">
        <v>7.1509999999999994E-3</v>
      </c>
      <c r="C49" s="22">
        <f t="shared" si="1"/>
        <v>0</v>
      </c>
      <c r="D49" s="22">
        <f>SUM($B49:$B$1038)</f>
        <v>1.506810999999997</v>
      </c>
      <c r="F49" s="29"/>
    </row>
    <row r="50" spans="1:6">
      <c r="A50" s="23">
        <v>36738</v>
      </c>
      <c r="B50" s="26">
        <v>6.5550000000000001E-3</v>
      </c>
      <c r="C50" s="22">
        <f t="shared" si="1"/>
        <v>0</v>
      </c>
      <c r="D50" s="22">
        <f>SUM($B50:$B$1038)</f>
        <v>1.4996599999999971</v>
      </c>
      <c r="F50" s="29"/>
    </row>
    <row r="51" spans="1:6">
      <c r="A51" s="23">
        <v>36769</v>
      </c>
      <c r="B51" s="26">
        <v>7.0350000000000005E-3</v>
      </c>
      <c r="C51" s="22">
        <f t="shared" si="1"/>
        <v>0</v>
      </c>
      <c r="D51" s="22">
        <f>SUM($B51:$B$1038)</f>
        <v>1.4931049999999975</v>
      </c>
      <c r="F51" s="29"/>
    </row>
    <row r="52" spans="1:6">
      <c r="A52" s="23">
        <v>36799</v>
      </c>
      <c r="B52" s="26">
        <v>6.0429999999999998E-3</v>
      </c>
      <c r="C52" s="22">
        <f t="shared" si="1"/>
        <v>0</v>
      </c>
      <c r="D52" s="22">
        <f>SUM($B52:$B$1038)</f>
        <v>1.4860699999999978</v>
      </c>
      <c r="F52" s="29"/>
    </row>
    <row r="53" spans="1:6">
      <c r="A53" s="23">
        <v>36830</v>
      </c>
      <c r="B53" s="26">
        <v>6.3229999999999996E-3</v>
      </c>
      <c r="C53" s="22">
        <f t="shared" si="1"/>
        <v>0</v>
      </c>
      <c r="D53" s="22">
        <f>SUM($B53:$B$1038)</f>
        <v>1.4800269999999978</v>
      </c>
      <c r="F53" s="29"/>
    </row>
    <row r="54" spans="1:6">
      <c r="A54" s="23">
        <v>36860</v>
      </c>
      <c r="B54" s="26">
        <v>6.2029999999999993E-3</v>
      </c>
      <c r="C54" s="22">
        <f t="shared" si="1"/>
        <v>0</v>
      </c>
      <c r="D54" s="22">
        <f>SUM($B54:$B$1038)</f>
        <v>1.4737039999999977</v>
      </c>
      <c r="F54" s="29"/>
    </row>
    <row r="55" spans="1:6">
      <c r="A55" s="23">
        <v>36891</v>
      </c>
      <c r="B55" s="26">
        <v>5.9960000000000005E-3</v>
      </c>
      <c r="C55" s="22">
        <f t="shared" si="1"/>
        <v>0</v>
      </c>
      <c r="D55" s="22">
        <f>SUM($B55:$B$1038)</f>
        <v>1.4675009999999975</v>
      </c>
      <c r="F55" s="29"/>
    </row>
    <row r="56" spans="1:6">
      <c r="A56" s="20">
        <v>36922</v>
      </c>
      <c r="B56" s="26">
        <v>6.3759999999999997E-3</v>
      </c>
      <c r="C56" s="22">
        <f t="shared" si="1"/>
        <v>0</v>
      </c>
      <c r="D56" s="22">
        <f>SUM($B56:$B$1038)</f>
        <v>1.4615049999999978</v>
      </c>
      <c r="F56" s="29"/>
    </row>
    <row r="57" spans="1:6">
      <c r="A57" s="23">
        <v>36950</v>
      </c>
      <c r="B57" s="26">
        <v>5.3700000000000006E-3</v>
      </c>
      <c r="C57" s="22">
        <f t="shared" si="1"/>
        <v>0</v>
      </c>
      <c r="D57" s="22">
        <f>SUM($B57:$B$1038)</f>
        <v>1.4551289999999975</v>
      </c>
      <c r="F57" s="29"/>
    </row>
    <row r="58" spans="1:6">
      <c r="A58" s="23">
        <v>36981</v>
      </c>
      <c r="B58" s="26">
        <v>6.7330000000000003E-3</v>
      </c>
      <c r="C58" s="22">
        <f t="shared" si="1"/>
        <v>0</v>
      </c>
      <c r="D58" s="22">
        <f>SUM($B58:$B$1038)</f>
        <v>1.4497589999999974</v>
      </c>
      <c r="F58" s="29"/>
    </row>
    <row r="59" spans="1:6">
      <c r="A59" s="23">
        <v>37011</v>
      </c>
      <c r="B59" s="26">
        <v>6.5539999999999999E-3</v>
      </c>
      <c r="C59" s="22">
        <f t="shared" si="1"/>
        <v>0</v>
      </c>
      <c r="D59" s="22">
        <f>SUM($B59:$B$1038)</f>
        <v>1.4430259999999977</v>
      </c>
      <c r="F59" s="29"/>
    </row>
    <row r="60" spans="1:6">
      <c r="A60" s="23">
        <v>37042</v>
      </c>
      <c r="B60" s="26">
        <v>6.8360000000000001E-3</v>
      </c>
      <c r="C60" s="22">
        <f t="shared" si="1"/>
        <v>0</v>
      </c>
      <c r="D60" s="22">
        <f>SUM($B60:$B$1038)</f>
        <v>1.4364719999999978</v>
      </c>
      <c r="F60" s="29"/>
    </row>
    <row r="61" spans="1:6">
      <c r="A61" s="23">
        <v>37072</v>
      </c>
      <c r="B61" s="26">
        <v>6.4649999999999994E-3</v>
      </c>
      <c r="C61" s="22">
        <f t="shared" si="1"/>
        <v>0</v>
      </c>
      <c r="D61" s="22">
        <f>SUM($B61:$B$1038)</f>
        <v>1.4296359999999975</v>
      </c>
      <c r="F61" s="29"/>
    </row>
    <row r="62" spans="1:6">
      <c r="A62" s="23">
        <v>37103</v>
      </c>
      <c r="B62" s="26">
        <v>7.4529999999999996E-3</v>
      </c>
      <c r="C62" s="22">
        <f t="shared" si="1"/>
        <v>0</v>
      </c>
      <c r="D62" s="22">
        <f>SUM($B62:$B$1038)</f>
        <v>1.4231709999999977</v>
      </c>
      <c r="F62" s="29"/>
    </row>
    <row r="63" spans="1:6">
      <c r="A63" s="23">
        <v>37134</v>
      </c>
      <c r="B63" s="26">
        <v>8.4530000000000004E-3</v>
      </c>
      <c r="C63" s="22">
        <f t="shared" si="1"/>
        <v>0</v>
      </c>
      <c r="D63" s="22">
        <f>SUM($B63:$B$1038)</f>
        <v>1.4157179999999976</v>
      </c>
      <c r="F63" s="29"/>
    </row>
    <row r="64" spans="1:6">
      <c r="A64" s="23">
        <v>37164</v>
      </c>
      <c r="B64" s="26">
        <v>6.6349999999999994E-3</v>
      </c>
      <c r="C64" s="22">
        <f t="shared" si="1"/>
        <v>0</v>
      </c>
      <c r="D64" s="22">
        <f>SUM($B64:$B$1038)</f>
        <v>1.4072649999999978</v>
      </c>
      <c r="F64" s="29"/>
    </row>
    <row r="65" spans="1:6">
      <c r="A65" s="23">
        <v>37195</v>
      </c>
      <c r="B65" s="26">
        <v>7.9279999999999993E-3</v>
      </c>
      <c r="C65" s="22">
        <f t="shared" si="1"/>
        <v>0</v>
      </c>
      <c r="D65" s="22">
        <f>SUM($B65:$B$1038)</f>
        <v>1.4006299999999978</v>
      </c>
      <c r="F65" s="29"/>
    </row>
    <row r="66" spans="1:6">
      <c r="A66" s="23">
        <v>37225</v>
      </c>
      <c r="B66" s="26">
        <v>6.9379999999999997E-3</v>
      </c>
      <c r="C66" s="22">
        <f t="shared" si="1"/>
        <v>0</v>
      </c>
      <c r="D66" s="22">
        <f>SUM($B66:$B$1038)</f>
        <v>1.3927019999999977</v>
      </c>
      <c r="F66" s="29"/>
    </row>
    <row r="67" spans="1:6">
      <c r="A67" s="23">
        <v>37256</v>
      </c>
      <c r="B67" s="26">
        <v>6.9930000000000001E-3</v>
      </c>
      <c r="C67" s="22">
        <f t="shared" si="1"/>
        <v>0</v>
      </c>
      <c r="D67" s="22">
        <f>SUM($B67:$B$1038)</f>
        <v>1.385763999999998</v>
      </c>
      <c r="F67" s="29"/>
    </row>
    <row r="68" spans="1:6">
      <c r="A68" s="20">
        <v>37287</v>
      </c>
      <c r="B68" s="26">
        <v>7.6039999999999996E-3</v>
      </c>
      <c r="C68" s="22">
        <f t="shared" si="1"/>
        <v>0</v>
      </c>
      <c r="D68" s="22">
        <f>SUM($B68:$B$1038)</f>
        <v>1.378770999999998</v>
      </c>
      <c r="F68" s="29"/>
    </row>
    <row r="69" spans="1:6">
      <c r="A69" s="23">
        <v>37315</v>
      </c>
      <c r="B69" s="26">
        <v>6.1770000000000002E-3</v>
      </c>
      <c r="C69" s="22">
        <f t="shared" si="1"/>
        <v>0</v>
      </c>
      <c r="D69" s="22">
        <f>SUM($B69:$B$1038)</f>
        <v>1.371166999999998</v>
      </c>
      <c r="F69" s="29"/>
    </row>
    <row r="70" spans="1:6">
      <c r="A70" s="23">
        <v>37346</v>
      </c>
      <c r="B70" s="26">
        <v>6.7669999999999996E-3</v>
      </c>
      <c r="C70" s="22">
        <f t="shared" si="1"/>
        <v>0</v>
      </c>
      <c r="D70" s="22">
        <f>SUM($B70:$B$1038)</f>
        <v>1.3649899999999979</v>
      </c>
      <c r="F70" s="29"/>
    </row>
    <row r="71" spans="1:6">
      <c r="A71" s="23">
        <v>37376</v>
      </c>
      <c r="B71" s="26">
        <v>7.3689999999999997E-3</v>
      </c>
      <c r="C71" s="22">
        <f t="shared" si="1"/>
        <v>0</v>
      </c>
      <c r="D71" s="22">
        <f>SUM($B71:$B$1038)</f>
        <v>1.358222999999998</v>
      </c>
      <c r="F71" s="29"/>
    </row>
    <row r="72" spans="1:6">
      <c r="A72" s="23">
        <v>37407</v>
      </c>
      <c r="B72" s="26">
        <v>7.1130000000000004E-3</v>
      </c>
      <c r="C72" s="22">
        <f t="shared" si="1"/>
        <v>0</v>
      </c>
      <c r="D72" s="22">
        <f>SUM($B72:$B$1038)</f>
        <v>1.3508539999999978</v>
      </c>
      <c r="F72" s="29"/>
    </row>
    <row r="73" spans="1:6">
      <c r="A73" s="23">
        <v>37437</v>
      </c>
      <c r="B73" s="26">
        <v>6.5900000000000004E-3</v>
      </c>
      <c r="C73" s="22">
        <f t="shared" si="1"/>
        <v>0</v>
      </c>
      <c r="D73" s="22">
        <f>SUM($B73:$B$1038)</f>
        <v>1.3437409999999979</v>
      </c>
      <c r="F73" s="29"/>
    </row>
    <row r="74" spans="1:6">
      <c r="A74" s="23">
        <v>37468</v>
      </c>
      <c r="B74" s="26">
        <v>7.6690000000000005E-3</v>
      </c>
      <c r="C74" s="22">
        <f t="shared" si="1"/>
        <v>0</v>
      </c>
      <c r="D74" s="22">
        <f>SUM($B74:$B$1038)</f>
        <v>1.3371509999999978</v>
      </c>
      <c r="F74" s="29"/>
    </row>
    <row r="75" spans="1:6">
      <c r="A75" s="23">
        <v>37499</v>
      </c>
      <c r="B75" s="26">
        <v>7.4929999999999997E-3</v>
      </c>
      <c r="C75" s="22">
        <f t="shared" si="1"/>
        <v>0</v>
      </c>
      <c r="D75" s="22">
        <f>SUM($B75:$B$1038)</f>
        <v>1.3294819999999978</v>
      </c>
      <c r="F75" s="29"/>
    </row>
    <row r="76" spans="1:6">
      <c r="A76" s="23">
        <v>37529</v>
      </c>
      <c r="B76" s="26">
        <v>6.9649999999999998E-3</v>
      </c>
      <c r="C76" s="22">
        <f t="shared" si="1"/>
        <v>0</v>
      </c>
      <c r="D76" s="22">
        <f>SUM($B76:$B$1038)</f>
        <v>1.3219889999999979</v>
      </c>
      <c r="F76" s="29"/>
    </row>
    <row r="77" spans="1:6">
      <c r="A77" s="23">
        <v>37560</v>
      </c>
      <c r="B77" s="26">
        <v>7.7819999999999999E-3</v>
      </c>
      <c r="C77" s="22">
        <f t="shared" si="1"/>
        <v>0</v>
      </c>
      <c r="D77" s="22">
        <f>SUM($B77:$B$1038)</f>
        <v>1.3150239999999978</v>
      </c>
      <c r="F77" s="29"/>
    </row>
    <row r="78" spans="1:6">
      <c r="A78" s="23">
        <v>37590</v>
      </c>
      <c r="B78" s="26">
        <v>7.6570000000000006E-3</v>
      </c>
      <c r="C78" s="22">
        <f t="shared" si="1"/>
        <v>0</v>
      </c>
      <c r="D78" s="22">
        <f>SUM($B78:$B$1038)</f>
        <v>1.3072419999999978</v>
      </c>
      <c r="F78" s="29"/>
    </row>
    <row r="79" spans="1:6">
      <c r="A79" s="23">
        <v>37621</v>
      </c>
      <c r="B79" s="26">
        <v>8.627000000000001E-3</v>
      </c>
      <c r="C79" s="22">
        <f t="shared" si="1"/>
        <v>0</v>
      </c>
      <c r="D79" s="22">
        <f>SUM($B79:$B$1038)</f>
        <v>1.2995849999999973</v>
      </c>
      <c r="F79" s="29"/>
    </row>
    <row r="80" spans="1:6">
      <c r="A80" s="20">
        <v>37652</v>
      </c>
      <c r="B80" s="26">
        <v>9.9019999999999993E-3</v>
      </c>
      <c r="C80" s="22">
        <f t="shared" si="1"/>
        <v>0</v>
      </c>
      <c r="D80" s="22">
        <f>SUM($B80:$B$1038)</f>
        <v>1.2909579999999976</v>
      </c>
      <c r="F80" s="29"/>
    </row>
    <row r="81" spans="1:6">
      <c r="A81" s="23">
        <v>37680</v>
      </c>
      <c r="B81" s="26">
        <v>9.1369999999999993E-3</v>
      </c>
      <c r="C81" s="22">
        <f t="shared" si="1"/>
        <v>0</v>
      </c>
      <c r="D81" s="22">
        <f>SUM($B81:$B$1038)</f>
        <v>1.2810559999999975</v>
      </c>
      <c r="F81" s="29"/>
    </row>
    <row r="82" spans="1:6">
      <c r="A82" s="23">
        <v>37711</v>
      </c>
      <c r="B82" s="26">
        <v>8.8009999999999998E-3</v>
      </c>
      <c r="C82" s="22">
        <f t="shared" si="1"/>
        <v>0</v>
      </c>
      <c r="D82" s="22">
        <f>SUM($B82:$B$1038)</f>
        <v>1.2719189999999976</v>
      </c>
      <c r="F82" s="29"/>
    </row>
    <row r="83" spans="1:6">
      <c r="A83" s="23">
        <v>37741</v>
      </c>
      <c r="B83" s="26">
        <v>9.2049999999999996E-3</v>
      </c>
      <c r="C83" s="22">
        <f t="shared" si="1"/>
        <v>0</v>
      </c>
      <c r="D83" s="22">
        <f>SUM($B83:$B$1038)</f>
        <v>1.2631179999999975</v>
      </c>
      <c r="F83" s="29"/>
    </row>
    <row r="84" spans="1:6">
      <c r="A84" s="23">
        <v>37772</v>
      </c>
      <c r="B84" s="26">
        <v>9.673000000000001E-3</v>
      </c>
      <c r="C84" s="22">
        <f t="shared" si="1"/>
        <v>0</v>
      </c>
      <c r="D84" s="22">
        <f>SUM($B84:$B$1038)</f>
        <v>1.2539129999999976</v>
      </c>
      <c r="F84" s="29"/>
    </row>
    <row r="85" spans="1:6">
      <c r="A85" s="23">
        <v>37802</v>
      </c>
      <c r="B85" s="26">
        <v>9.186999999999999E-3</v>
      </c>
      <c r="C85" s="22">
        <f t="shared" si="1"/>
        <v>0</v>
      </c>
      <c r="D85" s="22">
        <f>SUM($B85:$B$1038)</f>
        <v>1.2442399999999976</v>
      </c>
      <c r="F85" s="29"/>
    </row>
    <row r="86" spans="1:6">
      <c r="A86" s="23">
        <v>37833</v>
      </c>
      <c r="B86" s="26">
        <v>1.0492E-2</v>
      </c>
      <c r="C86" s="22">
        <f t="shared" si="1"/>
        <v>0</v>
      </c>
      <c r="D86" s="22">
        <f>SUM($B86:$B$1038)</f>
        <v>1.2350529999999973</v>
      </c>
      <c r="F86" s="29"/>
    </row>
    <row r="87" spans="1:6">
      <c r="A87" s="23">
        <v>37864</v>
      </c>
      <c r="B87" s="26">
        <v>9.0580000000000001E-3</v>
      </c>
      <c r="C87" s="22">
        <f t="shared" si="1"/>
        <v>0</v>
      </c>
      <c r="D87" s="22">
        <f>SUM($B87:$B$1038)</f>
        <v>1.2245609999999976</v>
      </c>
      <c r="F87" s="29"/>
    </row>
    <row r="88" spans="1:6">
      <c r="A88" s="23">
        <v>37894</v>
      </c>
      <c r="B88" s="26">
        <v>8.3809999999999996E-3</v>
      </c>
      <c r="C88" s="22">
        <f t="shared" si="1"/>
        <v>0</v>
      </c>
      <c r="D88" s="22">
        <f>SUM($B88:$B$1038)</f>
        <v>1.2155029999999973</v>
      </c>
      <c r="F88" s="29"/>
    </row>
    <row r="89" spans="1:6">
      <c r="A89" s="23">
        <v>37925</v>
      </c>
      <c r="B89" s="26">
        <v>8.2290000000000002E-3</v>
      </c>
      <c r="C89" s="22">
        <f t="shared" si="1"/>
        <v>0</v>
      </c>
      <c r="D89" s="22">
        <f>SUM($B89:$B$1038)</f>
        <v>1.2071219999999974</v>
      </c>
      <c r="F89" s="29"/>
    </row>
    <row r="90" spans="1:6">
      <c r="A90" s="23">
        <v>37955</v>
      </c>
      <c r="B90" s="26">
        <v>6.7850000000000002E-3</v>
      </c>
      <c r="C90" s="22">
        <f t="shared" si="1"/>
        <v>0</v>
      </c>
      <c r="D90" s="22">
        <f>SUM($B90:$B$1038)</f>
        <v>1.1988929999999978</v>
      </c>
      <c r="F90" s="29"/>
    </row>
    <row r="91" spans="1:6">
      <c r="A91" s="23">
        <v>37986</v>
      </c>
      <c r="B91" s="26">
        <v>6.9080000000000001E-3</v>
      </c>
      <c r="C91" s="22">
        <f t="shared" si="1"/>
        <v>0</v>
      </c>
      <c r="D91" s="22">
        <f>SUM($B91:$B$1038)</f>
        <v>1.1921079999999977</v>
      </c>
      <c r="F91" s="29"/>
    </row>
    <row r="92" spans="1:6">
      <c r="A92" s="20">
        <v>38017</v>
      </c>
      <c r="B92" s="26">
        <v>6.2860000000000008E-3</v>
      </c>
      <c r="C92" s="22">
        <f t="shared" si="1"/>
        <v>0</v>
      </c>
      <c r="D92" s="22">
        <f>SUM($B92:$B$1038)</f>
        <v>1.1851999999999978</v>
      </c>
      <c r="F92" s="29"/>
    </row>
    <row r="93" spans="1:6">
      <c r="A93" s="23">
        <v>38046</v>
      </c>
      <c r="B93" s="26">
        <v>5.4600000000000004E-3</v>
      </c>
      <c r="C93" s="22">
        <f t="shared" si="1"/>
        <v>0</v>
      </c>
      <c r="D93" s="22">
        <f>SUM($B93:$B$1038)</f>
        <v>1.1789139999999978</v>
      </c>
      <c r="F93" s="29"/>
    </row>
    <row r="94" spans="1:6">
      <c r="A94" s="23">
        <v>38077</v>
      </c>
      <c r="B94" s="26">
        <v>6.7869999999999996E-3</v>
      </c>
      <c r="C94" s="22">
        <f t="shared" si="1"/>
        <v>0</v>
      </c>
      <c r="D94" s="22">
        <f>SUM($B94:$B$1038)</f>
        <v>1.1734539999999978</v>
      </c>
      <c r="F94" s="29"/>
    </row>
    <row r="95" spans="1:6">
      <c r="A95" s="23">
        <v>38107</v>
      </c>
      <c r="B95" s="26">
        <v>5.8779999999999995E-3</v>
      </c>
      <c r="C95" s="22">
        <f t="shared" si="1"/>
        <v>0</v>
      </c>
      <c r="D95" s="22">
        <f>SUM($B95:$B$1038)</f>
        <v>1.1666669999999979</v>
      </c>
      <c r="F95" s="29"/>
    </row>
    <row r="96" spans="1:6">
      <c r="A96" s="23">
        <v>38138</v>
      </c>
      <c r="B96" s="26">
        <v>6.5539999999999999E-3</v>
      </c>
      <c r="C96" s="22">
        <f t="shared" si="1"/>
        <v>0</v>
      </c>
      <c r="D96" s="22">
        <f>SUM($B96:$B$1038)</f>
        <v>1.1607889999999979</v>
      </c>
      <c r="F96" s="29"/>
    </row>
    <row r="97" spans="1:6">
      <c r="A97" s="23">
        <v>38168</v>
      </c>
      <c r="B97" s="26">
        <v>6.7700000000000008E-3</v>
      </c>
      <c r="C97" s="22">
        <f t="shared" si="1"/>
        <v>0</v>
      </c>
      <c r="D97" s="22">
        <f>SUM($B97:$B$1038)</f>
        <v>1.1542349999999981</v>
      </c>
      <c r="F97" s="29"/>
    </row>
    <row r="98" spans="1:6">
      <c r="A98" s="23">
        <v>38199</v>
      </c>
      <c r="B98" s="26">
        <v>6.9620000000000003E-3</v>
      </c>
      <c r="C98" s="22">
        <f t="shared" si="1"/>
        <v>0</v>
      </c>
      <c r="D98" s="22">
        <f>SUM($B98:$B$1038)</f>
        <v>1.1474649999999982</v>
      </c>
      <c r="F98" s="29"/>
    </row>
    <row r="99" spans="1:6">
      <c r="A99" s="23">
        <v>38230</v>
      </c>
      <c r="B99" s="26">
        <v>7.0150000000000004E-3</v>
      </c>
      <c r="C99" s="22">
        <f t="shared" si="1"/>
        <v>0</v>
      </c>
      <c r="D99" s="22">
        <f>SUM($B99:$B$1038)</f>
        <v>1.1405029999999983</v>
      </c>
      <c r="F99" s="29"/>
    </row>
    <row r="100" spans="1:6">
      <c r="A100" s="23">
        <v>38260</v>
      </c>
      <c r="B100" s="26">
        <v>6.7369999999999999E-3</v>
      </c>
      <c r="C100" s="22">
        <f t="shared" si="1"/>
        <v>0</v>
      </c>
      <c r="D100" s="22">
        <f>SUM($B100:$B$1038)</f>
        <v>1.1334879999999985</v>
      </c>
      <c r="F100" s="29"/>
    </row>
    <row r="101" spans="1:6">
      <c r="A101" s="23">
        <v>38291</v>
      </c>
      <c r="B101" s="26">
        <v>6.1140000000000005E-3</v>
      </c>
      <c r="C101" s="22">
        <f t="shared" si="1"/>
        <v>0</v>
      </c>
      <c r="D101" s="22">
        <f>SUM($B101:$B$1038)</f>
        <v>1.1267509999999987</v>
      </c>
      <c r="F101" s="29"/>
    </row>
    <row r="102" spans="1:6">
      <c r="A102" s="23">
        <v>38321</v>
      </c>
      <c r="B102" s="26">
        <v>6.1519999999999995E-3</v>
      </c>
      <c r="C102" s="22">
        <f t="shared" si="1"/>
        <v>0</v>
      </c>
      <c r="D102" s="22">
        <f>SUM($B102:$B$1038)</f>
        <v>1.120636999999999</v>
      </c>
      <c r="F102" s="29"/>
    </row>
    <row r="103" spans="1:6">
      <c r="A103" s="23">
        <v>38352</v>
      </c>
      <c r="B103" s="26">
        <v>7.4119999999999993E-3</v>
      </c>
      <c r="C103" s="22">
        <f t="shared" si="1"/>
        <v>0</v>
      </c>
      <c r="D103" s="22">
        <f>SUM($B103:$B$1038)</f>
        <v>1.1144849999999993</v>
      </c>
      <c r="F103" s="29"/>
    </row>
    <row r="104" spans="1:6">
      <c r="A104" s="20">
        <v>38383</v>
      </c>
      <c r="B104" s="26">
        <v>6.8889999999999993E-3</v>
      </c>
      <c r="C104" s="22">
        <f t="shared" si="1"/>
        <v>0</v>
      </c>
      <c r="D104" s="22">
        <f>SUM($B104:$B$1038)</f>
        <v>1.1070729999999993</v>
      </c>
      <c r="F104" s="29"/>
    </row>
    <row r="105" spans="1:6">
      <c r="A105" s="23">
        <v>38411</v>
      </c>
      <c r="B105" s="26">
        <v>5.9670000000000001E-3</v>
      </c>
      <c r="C105" s="22">
        <f t="shared" si="1"/>
        <v>0</v>
      </c>
      <c r="D105" s="22">
        <f>SUM($B105:$B$1038)</f>
        <v>1.1001839999999996</v>
      </c>
      <c r="F105" s="29"/>
    </row>
    <row r="106" spans="1:6">
      <c r="A106" s="23">
        <v>38442</v>
      </c>
      <c r="B106" s="26">
        <v>7.6480000000000003E-3</v>
      </c>
      <c r="C106" s="22">
        <f t="shared" si="1"/>
        <v>0</v>
      </c>
      <c r="D106" s="22">
        <f>SUM($B106:$B$1038)</f>
        <v>1.0942169999999998</v>
      </c>
      <c r="F106" s="29"/>
    </row>
    <row r="107" spans="1:6">
      <c r="A107" s="23">
        <v>38472</v>
      </c>
      <c r="B107" s="26">
        <v>7.0130000000000001E-3</v>
      </c>
      <c r="C107" s="22">
        <f t="shared" si="1"/>
        <v>0</v>
      </c>
      <c r="D107" s="22">
        <f>SUM($B107:$B$1038)</f>
        <v>1.0865689999999999</v>
      </c>
      <c r="F107" s="29"/>
    </row>
    <row r="108" spans="1:6">
      <c r="A108" s="23">
        <v>38503</v>
      </c>
      <c r="B108" s="26">
        <v>7.5399999999999998E-3</v>
      </c>
      <c r="C108" s="22">
        <f t="shared" ref="C108:C171" si="2">IF(EOMONTH($F$2,-60)&lt;A108,SUM(B109:B167),0)</f>
        <v>0</v>
      </c>
      <c r="D108" s="22">
        <f>SUM($B108:$B$1038)</f>
        <v>1.0795559999999997</v>
      </c>
      <c r="F108" s="29"/>
    </row>
    <row r="109" spans="1:6">
      <c r="A109" s="23">
        <v>38533</v>
      </c>
      <c r="B109" s="26">
        <v>8.0079999999999995E-3</v>
      </c>
      <c r="C109" s="22">
        <f t="shared" si="2"/>
        <v>0</v>
      </c>
      <c r="D109" s="22">
        <f>SUM($B109:$B$1038)</f>
        <v>1.0720159999999996</v>
      </c>
      <c r="F109" s="29"/>
    </row>
    <row r="110" spans="1:6">
      <c r="A110" s="23">
        <v>38564</v>
      </c>
      <c r="B110" s="26">
        <v>7.5880000000000001E-3</v>
      </c>
      <c r="C110" s="22">
        <f t="shared" si="2"/>
        <v>0</v>
      </c>
      <c r="D110" s="22">
        <f>SUM($B110:$B$1038)</f>
        <v>1.0640079999999996</v>
      </c>
      <c r="F110" s="29"/>
    </row>
    <row r="111" spans="1:6">
      <c r="A111" s="23">
        <v>38595</v>
      </c>
      <c r="B111" s="26">
        <v>8.483000000000001E-3</v>
      </c>
      <c r="C111" s="22">
        <f t="shared" si="2"/>
        <v>0</v>
      </c>
      <c r="D111" s="22">
        <f>SUM($B111:$B$1038)</f>
        <v>1.0564200000000001</v>
      </c>
      <c r="F111" s="29"/>
    </row>
    <row r="112" spans="1:6">
      <c r="A112" s="23">
        <v>38625</v>
      </c>
      <c r="B112" s="26">
        <v>7.6500000000000005E-3</v>
      </c>
      <c r="C112" s="22">
        <f t="shared" si="2"/>
        <v>0</v>
      </c>
      <c r="D112" s="22">
        <f>SUM($B112:$B$1038)</f>
        <v>1.0479370000000003</v>
      </c>
      <c r="F112" s="29"/>
    </row>
    <row r="113" spans="1:6">
      <c r="A113" s="23">
        <v>38656</v>
      </c>
      <c r="B113" s="26">
        <v>7.11E-3</v>
      </c>
      <c r="C113" s="22">
        <f t="shared" si="2"/>
        <v>0</v>
      </c>
      <c r="D113" s="22">
        <f>SUM($B113:$B$1038)</f>
        <v>1.0402870000000004</v>
      </c>
      <c r="F113" s="29"/>
    </row>
    <row r="114" spans="1:6">
      <c r="A114" s="23">
        <v>38686</v>
      </c>
      <c r="B114" s="26">
        <v>6.9389999999999999E-3</v>
      </c>
      <c r="C114" s="22">
        <f t="shared" si="2"/>
        <v>0</v>
      </c>
      <c r="D114" s="22">
        <f>SUM($B114:$B$1038)</f>
        <v>1.0331770000000002</v>
      </c>
      <c r="F114" s="29"/>
    </row>
    <row r="115" spans="1:6">
      <c r="A115" s="23">
        <v>38717</v>
      </c>
      <c r="B115" s="26">
        <v>7.28E-3</v>
      </c>
      <c r="C115" s="22">
        <f t="shared" si="2"/>
        <v>0</v>
      </c>
      <c r="D115" s="22">
        <f>SUM($B115:$B$1038)</f>
        <v>1.0262380000000002</v>
      </c>
      <c r="F115" s="29"/>
    </row>
    <row r="116" spans="1:6">
      <c r="A116" s="20">
        <v>38748</v>
      </c>
      <c r="B116" s="26">
        <v>7.3379999999999999E-3</v>
      </c>
      <c r="C116" s="22">
        <f t="shared" si="2"/>
        <v>0</v>
      </c>
      <c r="D116" s="22">
        <f>SUM($B116:$B$1038)</f>
        <v>1.018958</v>
      </c>
      <c r="F116" s="29"/>
    </row>
    <row r="117" spans="1:6">
      <c r="A117" s="23">
        <v>38776</v>
      </c>
      <c r="B117" s="26">
        <v>5.7289999999999997E-3</v>
      </c>
      <c r="C117" s="22">
        <f t="shared" si="2"/>
        <v>0</v>
      </c>
      <c r="D117" s="22">
        <f>SUM($B117:$B$1038)</f>
        <v>1.0116200000000002</v>
      </c>
      <c r="F117" s="29"/>
    </row>
    <row r="118" spans="1:6">
      <c r="A118" s="23">
        <v>38807</v>
      </c>
      <c r="B118" s="26">
        <v>7.0830000000000008E-3</v>
      </c>
      <c r="C118" s="22">
        <f t="shared" si="2"/>
        <v>0</v>
      </c>
      <c r="D118" s="22">
        <f>SUM($B118:$B$1038)</f>
        <v>1.0058910000000001</v>
      </c>
      <c r="F118" s="29"/>
    </row>
    <row r="119" spans="1:6">
      <c r="A119" s="23">
        <v>38837</v>
      </c>
      <c r="B119" s="26">
        <v>5.8589999999999996E-3</v>
      </c>
      <c r="C119" s="22">
        <f t="shared" si="2"/>
        <v>0</v>
      </c>
      <c r="D119" s="22">
        <f>SUM($B119:$B$1038)</f>
        <v>0.99880800000000003</v>
      </c>
      <c r="F119" s="29"/>
    </row>
    <row r="120" spans="1:6">
      <c r="A120" s="23">
        <v>38868</v>
      </c>
      <c r="B120" s="26">
        <v>6.8969999999999995E-3</v>
      </c>
      <c r="C120" s="22">
        <f t="shared" si="2"/>
        <v>0</v>
      </c>
      <c r="D120" s="22">
        <f>SUM($B120:$B$1038)</f>
        <v>0.99294899999999997</v>
      </c>
      <c r="F120" s="29"/>
    </row>
    <row r="121" spans="1:6">
      <c r="A121" s="23">
        <v>38898</v>
      </c>
      <c r="B121" s="26">
        <v>6.9470000000000001E-3</v>
      </c>
      <c r="C121" s="22">
        <f t="shared" si="2"/>
        <v>0</v>
      </c>
      <c r="D121" s="22">
        <f>SUM($B121:$B$1038)</f>
        <v>0.98605200000000004</v>
      </c>
      <c r="F121" s="29"/>
    </row>
    <row r="122" spans="1:6">
      <c r="A122" s="23">
        <v>38929</v>
      </c>
      <c r="B122" s="26">
        <v>6.7600000000000004E-3</v>
      </c>
      <c r="C122" s="22">
        <f t="shared" si="2"/>
        <v>0</v>
      </c>
      <c r="D122" s="22">
        <f>SUM($B122:$B$1038)</f>
        <v>0.979105</v>
      </c>
      <c r="F122" s="29"/>
    </row>
    <row r="123" spans="1:6">
      <c r="A123" s="23">
        <v>38960</v>
      </c>
      <c r="B123" s="26">
        <v>7.4479999999999998E-3</v>
      </c>
      <c r="C123" s="22">
        <f t="shared" si="2"/>
        <v>0</v>
      </c>
      <c r="D123" s="22">
        <f>SUM($B123:$B$1038)</f>
        <v>0.97234500000000013</v>
      </c>
      <c r="F123" s="29"/>
    </row>
    <row r="124" spans="1:6">
      <c r="A124" s="23">
        <v>38990</v>
      </c>
      <c r="B124" s="26">
        <v>6.5290000000000001E-3</v>
      </c>
      <c r="C124" s="22">
        <f t="shared" si="2"/>
        <v>0</v>
      </c>
      <c r="D124" s="22">
        <f>SUM($B124:$B$1038)</f>
        <v>0.96489700000000012</v>
      </c>
      <c r="F124" s="29"/>
    </row>
    <row r="125" spans="1:6">
      <c r="A125" s="23">
        <v>39021</v>
      </c>
      <c r="B125" s="26">
        <v>6.8840000000000004E-3</v>
      </c>
      <c r="C125" s="22">
        <f t="shared" si="2"/>
        <v>0</v>
      </c>
      <c r="D125" s="22">
        <f>SUM($B125:$B$1038)</f>
        <v>0.95836800000000011</v>
      </c>
      <c r="F125" s="29"/>
    </row>
    <row r="126" spans="1:6">
      <c r="A126" s="23">
        <v>39051</v>
      </c>
      <c r="B126" s="26">
        <v>6.2880000000000002E-3</v>
      </c>
      <c r="C126" s="22">
        <f t="shared" si="2"/>
        <v>0</v>
      </c>
      <c r="D126" s="22">
        <f>SUM($B126:$B$1038)</f>
        <v>0.95148400000000011</v>
      </c>
      <c r="F126" s="29"/>
    </row>
    <row r="127" spans="1:6">
      <c r="A127" s="23">
        <v>39082</v>
      </c>
      <c r="B127" s="26">
        <v>6.5300000000000002E-3</v>
      </c>
      <c r="C127" s="22">
        <f t="shared" si="2"/>
        <v>0</v>
      </c>
      <c r="D127" s="22">
        <f>SUM($B127:$B$1038)</f>
        <v>0.94519600000000015</v>
      </c>
      <c r="F127" s="29"/>
    </row>
    <row r="128" spans="1:6">
      <c r="A128" s="20">
        <v>39113</v>
      </c>
      <c r="B128" s="26">
        <v>7.1999999999999998E-3</v>
      </c>
      <c r="C128" s="22">
        <f t="shared" si="2"/>
        <v>0</v>
      </c>
      <c r="D128" s="22">
        <f>SUM($B128:$B$1038)</f>
        <v>0.93866600000000011</v>
      </c>
      <c r="F128" s="29"/>
    </row>
    <row r="129" spans="1:6">
      <c r="A129" s="23">
        <v>39141</v>
      </c>
      <c r="B129" s="26">
        <v>5.7250000000000001E-3</v>
      </c>
      <c r="C129" s="22">
        <f t="shared" si="2"/>
        <v>0</v>
      </c>
      <c r="D129" s="22">
        <f>SUM($B129:$B$1038)</f>
        <v>0.93146600000000013</v>
      </c>
      <c r="F129" s="29"/>
    </row>
    <row r="130" spans="1:6">
      <c r="A130" s="23">
        <v>39172</v>
      </c>
      <c r="B130" s="26">
        <v>6.8849999999999996E-3</v>
      </c>
      <c r="C130" s="22">
        <f t="shared" si="2"/>
        <v>0</v>
      </c>
      <c r="D130" s="22">
        <f>SUM($B130:$B$1038)</f>
        <v>0.92574100000000026</v>
      </c>
      <c r="F130" s="29"/>
    </row>
    <row r="131" spans="1:6">
      <c r="A131" s="23">
        <v>39202</v>
      </c>
      <c r="B131" s="26">
        <v>6.2780000000000006E-3</v>
      </c>
      <c r="C131" s="22">
        <f t="shared" si="2"/>
        <v>0</v>
      </c>
      <c r="D131" s="22">
        <f>SUM($B131:$B$1038)</f>
        <v>0.91885600000000012</v>
      </c>
      <c r="F131" s="29"/>
    </row>
    <row r="132" spans="1:6">
      <c r="A132" s="23">
        <v>39233</v>
      </c>
      <c r="B132" s="26">
        <v>6.6969999999999998E-3</v>
      </c>
      <c r="C132" s="22">
        <f t="shared" si="2"/>
        <v>0</v>
      </c>
      <c r="D132" s="22">
        <f>SUM($B132:$B$1038)</f>
        <v>0.91257800000000011</v>
      </c>
      <c r="F132" s="29"/>
    </row>
    <row r="133" spans="1:6">
      <c r="A133" s="23">
        <v>39263</v>
      </c>
      <c r="B133" s="26">
        <v>5.9589999999999999E-3</v>
      </c>
      <c r="C133" s="22">
        <f t="shared" si="2"/>
        <v>0</v>
      </c>
      <c r="D133" s="22">
        <f>SUM($B133:$B$1038)</f>
        <v>0.90588100000000005</v>
      </c>
      <c r="F133" s="29"/>
    </row>
    <row r="134" spans="1:6">
      <c r="A134" s="23">
        <v>39294</v>
      </c>
      <c r="B134" s="26">
        <v>6.4759999999999991E-3</v>
      </c>
      <c r="C134" s="22">
        <f t="shared" si="2"/>
        <v>0</v>
      </c>
      <c r="D134" s="22">
        <f>SUM($B134:$B$1038)</f>
        <v>0.89992200000000022</v>
      </c>
      <c r="F134" s="29"/>
    </row>
    <row r="135" spans="1:6">
      <c r="A135" s="23">
        <v>39325</v>
      </c>
      <c r="B135" s="26">
        <v>6.4729999999999996E-3</v>
      </c>
      <c r="C135" s="22">
        <f t="shared" si="2"/>
        <v>0</v>
      </c>
      <c r="D135" s="22">
        <f>SUM($B135:$B$1038)</f>
        <v>0.89344600000000018</v>
      </c>
      <c r="F135" s="29"/>
    </row>
    <row r="136" spans="1:6">
      <c r="A136" s="23">
        <v>39355</v>
      </c>
      <c r="B136" s="26">
        <v>5.3540000000000003E-3</v>
      </c>
      <c r="C136" s="22">
        <f t="shared" si="2"/>
        <v>0</v>
      </c>
      <c r="D136" s="22">
        <f>SUM($B136:$B$1038)</f>
        <v>0.88697300000000023</v>
      </c>
      <c r="F136" s="29"/>
    </row>
    <row r="137" spans="1:6">
      <c r="A137" s="23">
        <v>39386</v>
      </c>
      <c r="B137" s="26">
        <v>6.1479999999999998E-3</v>
      </c>
      <c r="C137" s="22">
        <f t="shared" si="2"/>
        <v>0</v>
      </c>
      <c r="D137" s="22">
        <f>SUM($B137:$B$1038)</f>
        <v>0.88161900000000015</v>
      </c>
      <c r="F137" s="29"/>
    </row>
    <row r="138" spans="1:6">
      <c r="A138" s="23">
        <v>39416</v>
      </c>
      <c r="B138" s="26">
        <v>5.5929999999999999E-3</v>
      </c>
      <c r="C138" s="22">
        <f t="shared" si="2"/>
        <v>0</v>
      </c>
      <c r="D138" s="22">
        <f>SUM($B138:$B$1038)</f>
        <v>0.87547100000000011</v>
      </c>
      <c r="F138" s="29"/>
    </row>
    <row r="139" spans="1:6">
      <c r="A139" s="23">
        <v>39447</v>
      </c>
      <c r="B139" s="26">
        <v>5.6430000000000004E-3</v>
      </c>
      <c r="C139" s="22">
        <f t="shared" si="2"/>
        <v>0</v>
      </c>
      <c r="D139" s="22">
        <f>SUM($B139:$B$1038)</f>
        <v>0.86987800000000004</v>
      </c>
      <c r="F139" s="29"/>
    </row>
    <row r="140" spans="1:6">
      <c r="A140" s="20">
        <v>39478</v>
      </c>
      <c r="B140" s="26">
        <v>6.0150000000000004E-3</v>
      </c>
      <c r="C140" s="22">
        <f t="shared" si="2"/>
        <v>0</v>
      </c>
      <c r="D140" s="22">
        <f>SUM($B140:$B$1038)</f>
        <v>0.86423500000000009</v>
      </c>
      <c r="F140" s="29"/>
    </row>
    <row r="141" spans="1:6">
      <c r="A141" s="23">
        <v>39507</v>
      </c>
      <c r="B141" s="26">
        <v>5.2439999999999995E-3</v>
      </c>
      <c r="C141" s="22">
        <f t="shared" si="2"/>
        <v>0</v>
      </c>
      <c r="D141" s="22">
        <f>SUM($B141:$B$1038)</f>
        <v>0.85822000000000009</v>
      </c>
      <c r="F141" s="29"/>
    </row>
    <row r="142" spans="1:6">
      <c r="A142" s="23">
        <v>39538</v>
      </c>
      <c r="B142" s="26">
        <v>5.411E-3</v>
      </c>
      <c r="C142" s="22">
        <f t="shared" si="2"/>
        <v>0</v>
      </c>
      <c r="D142" s="22">
        <f>SUM($B142:$B$1038)</f>
        <v>0.85297600000000007</v>
      </c>
      <c r="F142" s="29"/>
    </row>
    <row r="143" spans="1:6">
      <c r="A143" s="23">
        <v>39568</v>
      </c>
      <c r="B143" s="26">
        <v>5.96E-3</v>
      </c>
      <c r="C143" s="22">
        <f t="shared" si="2"/>
        <v>0</v>
      </c>
      <c r="D143" s="22">
        <f>SUM($B143:$B$1038)</f>
        <v>0.84756500000000012</v>
      </c>
      <c r="F143" s="29"/>
    </row>
    <row r="144" spans="1:6">
      <c r="A144" s="23">
        <v>39599</v>
      </c>
      <c r="B144" s="26">
        <v>5.7399999999999994E-3</v>
      </c>
      <c r="C144" s="22">
        <f t="shared" si="2"/>
        <v>0</v>
      </c>
      <c r="D144" s="22">
        <f>SUM($B144:$B$1038)</f>
        <v>0.84160500000000016</v>
      </c>
      <c r="F144" s="29"/>
    </row>
    <row r="145" spans="1:6">
      <c r="A145" s="23">
        <v>39629</v>
      </c>
      <c r="B145" s="26">
        <v>6.1519999999999995E-3</v>
      </c>
      <c r="C145" s="22">
        <f t="shared" si="2"/>
        <v>0</v>
      </c>
      <c r="D145" s="22">
        <f>SUM($B145:$B$1038)</f>
        <v>0.83586500000000008</v>
      </c>
      <c r="F145" s="29"/>
    </row>
    <row r="146" spans="1:6">
      <c r="A146" s="23">
        <v>39660</v>
      </c>
      <c r="B146" s="26">
        <v>6.9240000000000005E-3</v>
      </c>
      <c r="C146" s="22">
        <f t="shared" si="2"/>
        <v>0</v>
      </c>
      <c r="D146" s="22">
        <f>SUM($B146:$B$1038)</f>
        <v>0.82971300000000014</v>
      </c>
      <c r="F146" s="29"/>
    </row>
    <row r="147" spans="1:6">
      <c r="A147" s="23">
        <v>39691</v>
      </c>
      <c r="B147" s="26">
        <v>6.5820000000000002E-3</v>
      </c>
      <c r="C147" s="22">
        <f t="shared" si="2"/>
        <v>0</v>
      </c>
      <c r="D147" s="22">
        <f>SUM($B147:$B$1038)</f>
        <v>0.8227890000000001</v>
      </c>
      <c r="F147" s="29"/>
    </row>
    <row r="148" spans="1:6">
      <c r="A148" s="23">
        <v>39721</v>
      </c>
      <c r="B148" s="26">
        <v>6.9799999999999992E-3</v>
      </c>
      <c r="C148" s="22">
        <f t="shared" si="2"/>
        <v>0</v>
      </c>
      <c r="D148" s="22">
        <f>SUM($B148:$B$1038)</f>
        <v>0.81620700000000024</v>
      </c>
      <c r="F148" s="29"/>
    </row>
    <row r="149" spans="1:6">
      <c r="A149" s="23">
        <v>39752</v>
      </c>
      <c r="B149" s="26">
        <v>7.5190000000000005E-3</v>
      </c>
      <c r="C149" s="22">
        <f t="shared" si="2"/>
        <v>0</v>
      </c>
      <c r="D149" s="22">
        <f>SUM($B149:$B$1038)</f>
        <v>0.80922700000000025</v>
      </c>
      <c r="F149" s="29"/>
    </row>
    <row r="150" spans="1:6">
      <c r="A150" s="23">
        <v>39782</v>
      </c>
      <c r="B150" s="26">
        <v>6.6259999999999999E-3</v>
      </c>
      <c r="C150" s="22">
        <f t="shared" si="2"/>
        <v>0</v>
      </c>
      <c r="D150" s="22">
        <f>SUM($B150:$B$1038)</f>
        <v>0.80170800000000031</v>
      </c>
      <c r="F150" s="29"/>
    </row>
    <row r="151" spans="1:6">
      <c r="A151" s="23">
        <v>39813</v>
      </c>
      <c r="B151" s="26">
        <v>7.1599999999999997E-3</v>
      </c>
      <c r="C151" s="22">
        <f t="shared" si="2"/>
        <v>0</v>
      </c>
      <c r="D151" s="22">
        <f>SUM($B151:$B$1038)</f>
        <v>0.79508200000000029</v>
      </c>
      <c r="F151" s="29"/>
    </row>
    <row r="152" spans="1:6">
      <c r="A152" s="20">
        <v>39844</v>
      </c>
      <c r="B152" s="26">
        <v>6.8489999999999992E-3</v>
      </c>
      <c r="C152" s="22">
        <f t="shared" si="2"/>
        <v>0</v>
      </c>
      <c r="D152" s="22">
        <f>SUM($B152:$B$1038)</f>
        <v>0.78792200000000023</v>
      </c>
      <c r="F152" s="29"/>
    </row>
    <row r="153" spans="1:6">
      <c r="A153" s="23">
        <v>39872</v>
      </c>
      <c r="B153" s="26">
        <v>5.4530000000000004E-3</v>
      </c>
      <c r="C153" s="22">
        <f t="shared" si="2"/>
        <v>0</v>
      </c>
      <c r="D153" s="22">
        <f>SUM($B153:$B$1038)</f>
        <v>0.78107300000000024</v>
      </c>
      <c r="F153" s="29"/>
    </row>
    <row r="154" spans="1:6">
      <c r="A154" s="23">
        <v>39903</v>
      </c>
      <c r="B154" s="26">
        <v>6.4449999999999993E-3</v>
      </c>
      <c r="C154" s="22">
        <f t="shared" si="2"/>
        <v>0</v>
      </c>
      <c r="D154" s="22">
        <f>SUM($B154:$B$1038)</f>
        <v>0.77562000000000031</v>
      </c>
      <c r="F154" s="29"/>
    </row>
    <row r="155" spans="1:6">
      <c r="A155" s="23">
        <v>39933</v>
      </c>
      <c r="B155" s="26">
        <v>5.4559999999999999E-3</v>
      </c>
      <c r="C155" s="22">
        <f t="shared" si="2"/>
        <v>0</v>
      </c>
      <c r="D155" s="22">
        <f>SUM($B155:$B$1038)</f>
        <v>0.76917500000000028</v>
      </c>
      <c r="F155" s="29"/>
    </row>
    <row r="156" spans="1:6">
      <c r="A156" s="23">
        <v>39964</v>
      </c>
      <c r="B156" s="26">
        <v>5.4510000000000001E-3</v>
      </c>
      <c r="C156" s="22">
        <f t="shared" si="2"/>
        <v>0</v>
      </c>
      <c r="D156" s="22">
        <f>SUM($B156:$B$1038)</f>
        <v>0.76371900000000026</v>
      </c>
      <c r="F156" s="29"/>
    </row>
    <row r="157" spans="1:6">
      <c r="A157" s="23">
        <v>39994</v>
      </c>
      <c r="B157" s="26">
        <v>5.659E-3</v>
      </c>
      <c r="C157" s="22">
        <f t="shared" si="2"/>
        <v>0</v>
      </c>
      <c r="D157" s="22">
        <f>SUM($B157:$B$1038)</f>
        <v>0.75826800000000028</v>
      </c>
      <c r="F157" s="29"/>
    </row>
    <row r="158" spans="1:6">
      <c r="A158" s="23">
        <v>40025</v>
      </c>
      <c r="B158" s="26">
        <v>6.0560000000000006E-3</v>
      </c>
      <c r="C158" s="22">
        <f t="shared" si="2"/>
        <v>0</v>
      </c>
      <c r="D158" s="22">
        <f>SUM($B158:$B$1038)</f>
        <v>0.75260900000000031</v>
      </c>
      <c r="F158" s="29"/>
    </row>
    <row r="159" spans="1:6">
      <c r="A159" s="23">
        <v>40056</v>
      </c>
      <c r="B159" s="26">
        <v>5.1980000000000004E-3</v>
      </c>
      <c r="C159" s="22">
        <f t="shared" si="2"/>
        <v>0</v>
      </c>
      <c r="D159" s="22">
        <f>SUM($B159:$B$1038)</f>
        <v>0.74655300000000036</v>
      </c>
      <c r="F159" s="29"/>
    </row>
    <row r="160" spans="1:6">
      <c r="A160" s="23">
        <v>40086</v>
      </c>
      <c r="B160" s="26">
        <v>5.0000000000000001E-3</v>
      </c>
      <c r="C160" s="22">
        <f t="shared" si="2"/>
        <v>0</v>
      </c>
      <c r="D160" s="22">
        <f>SUM($B160:$B$1038)</f>
        <v>0.74135500000000043</v>
      </c>
      <c r="F160" s="29"/>
    </row>
    <row r="161" spans="1:6">
      <c r="A161" s="23">
        <v>40117</v>
      </c>
      <c r="B161" s="26">
        <v>5.0000000000000001E-3</v>
      </c>
      <c r="C161" s="22">
        <f t="shared" si="2"/>
        <v>0</v>
      </c>
      <c r="D161" s="22">
        <f>SUM($B161:$B$1038)</f>
        <v>0.73635500000000043</v>
      </c>
      <c r="F161" s="29"/>
    </row>
    <row r="162" spans="1:6">
      <c r="A162" s="23">
        <v>40147</v>
      </c>
      <c r="B162" s="26">
        <v>5.0000000000000001E-3</v>
      </c>
      <c r="C162" s="22">
        <f t="shared" si="2"/>
        <v>0</v>
      </c>
      <c r="D162" s="22">
        <f>SUM($B162:$B$1038)</f>
        <v>0.73135500000000042</v>
      </c>
      <c r="F162" s="29"/>
    </row>
    <row r="163" spans="1:6">
      <c r="A163" s="23">
        <v>40178</v>
      </c>
      <c r="B163" s="26">
        <v>5.5360000000000001E-3</v>
      </c>
      <c r="C163" s="22">
        <f t="shared" si="2"/>
        <v>0</v>
      </c>
      <c r="D163" s="22">
        <f>SUM($B163:$B$1038)</f>
        <v>0.72635500000000042</v>
      </c>
      <c r="F163" s="29"/>
    </row>
    <row r="164" spans="1:6">
      <c r="A164" s="20">
        <v>40209</v>
      </c>
      <c r="B164" s="26">
        <v>5.0000000000000001E-3</v>
      </c>
      <c r="C164" s="22">
        <f t="shared" si="2"/>
        <v>0</v>
      </c>
      <c r="D164" s="22">
        <f>SUM($B164:$B$1038)</f>
        <v>0.72081900000000043</v>
      </c>
      <c r="F164" s="29"/>
    </row>
    <row r="165" spans="1:6">
      <c r="A165" s="23">
        <v>40237</v>
      </c>
      <c r="B165" s="26">
        <v>5.0000000000000001E-3</v>
      </c>
      <c r="C165" s="22">
        <f t="shared" si="2"/>
        <v>0</v>
      </c>
      <c r="D165" s="22">
        <f>SUM($B165:$B$1038)</f>
        <v>0.71581900000000043</v>
      </c>
      <c r="F165" s="29"/>
    </row>
    <row r="166" spans="1:6">
      <c r="A166" s="23">
        <v>40268</v>
      </c>
      <c r="B166" s="26">
        <v>5.7959999999999999E-3</v>
      </c>
      <c r="C166" s="22">
        <f t="shared" si="2"/>
        <v>0</v>
      </c>
      <c r="D166" s="22">
        <f>SUM($B166:$B$1038)</f>
        <v>0.71081900000000042</v>
      </c>
      <c r="F166" s="29"/>
    </row>
    <row r="167" spans="1:6">
      <c r="A167" s="23">
        <v>40298</v>
      </c>
      <c r="B167" s="26">
        <v>5.0000000000000001E-3</v>
      </c>
      <c r="C167" s="22">
        <f t="shared" si="2"/>
        <v>0</v>
      </c>
      <c r="D167" s="22">
        <f>SUM($B167:$B$1038)</f>
        <v>0.70502300000000051</v>
      </c>
      <c r="F167" s="29"/>
    </row>
    <row r="168" spans="1:6">
      <c r="A168" s="23">
        <v>40329</v>
      </c>
      <c r="B168" s="26">
        <v>5.5130000000000005E-3</v>
      </c>
      <c r="C168" s="22">
        <f t="shared" si="2"/>
        <v>0</v>
      </c>
      <c r="D168" s="22">
        <f>SUM($B168:$B$1038)</f>
        <v>0.70002300000000051</v>
      </c>
      <c r="F168" s="29"/>
    </row>
    <row r="169" spans="1:6">
      <c r="A169" s="23">
        <v>40359</v>
      </c>
      <c r="B169" s="26">
        <v>5.5920000000000006E-3</v>
      </c>
      <c r="C169" s="22">
        <f t="shared" si="2"/>
        <v>0</v>
      </c>
      <c r="D169" s="22">
        <f>SUM($B169:$B$1038)</f>
        <v>0.6945100000000004</v>
      </c>
      <c r="F169" s="29"/>
    </row>
    <row r="170" spans="1:6">
      <c r="A170" s="23">
        <v>40390</v>
      </c>
      <c r="B170" s="26">
        <v>6.1570000000000001E-3</v>
      </c>
      <c r="C170" s="22">
        <f t="shared" si="2"/>
        <v>0</v>
      </c>
      <c r="D170" s="22">
        <f>SUM($B170:$B$1038)</f>
        <v>0.68891800000000047</v>
      </c>
      <c r="F170" s="29"/>
    </row>
    <row r="171" spans="1:6">
      <c r="A171" s="23">
        <v>40421</v>
      </c>
      <c r="B171" s="26">
        <v>5.914E-3</v>
      </c>
      <c r="C171" s="22">
        <f t="shared" si="2"/>
        <v>0</v>
      </c>
      <c r="D171" s="22">
        <f>SUM($B171:$B$1038)</f>
        <v>0.68276100000000051</v>
      </c>
      <c r="F171" s="29"/>
    </row>
    <row r="172" spans="1:6">
      <c r="A172" s="23">
        <v>40451</v>
      </c>
      <c r="B172" s="26">
        <v>5.7060000000000001E-3</v>
      </c>
      <c r="C172" s="22">
        <f t="shared" ref="C172:C235" si="3">IF(EOMONTH($F$2,-60)&lt;A172,SUM(B173:B231),0)</f>
        <v>0</v>
      </c>
      <c r="D172" s="22">
        <f>SUM($B172:$B$1038)</f>
        <v>0.67684700000000053</v>
      </c>
      <c r="F172" s="29"/>
    </row>
    <row r="173" spans="1:6">
      <c r="A173" s="23">
        <v>40482</v>
      </c>
      <c r="B173" s="26">
        <v>5.4739999999999997E-3</v>
      </c>
      <c r="C173" s="22">
        <f t="shared" si="3"/>
        <v>0</v>
      </c>
      <c r="D173" s="22">
        <f>SUM($B173:$B$1038)</f>
        <v>0.67114100000000054</v>
      </c>
      <c r="F173" s="29"/>
    </row>
    <row r="174" spans="1:6">
      <c r="A174" s="23">
        <v>40512</v>
      </c>
      <c r="B174" s="26">
        <v>5.3380000000000007E-3</v>
      </c>
      <c r="C174" s="22">
        <f t="shared" si="3"/>
        <v>0</v>
      </c>
      <c r="D174" s="22">
        <f>SUM($B174:$B$1038)</f>
        <v>0.66566700000000067</v>
      </c>
      <c r="F174" s="29"/>
    </row>
    <row r="175" spans="1:6">
      <c r="A175" s="23">
        <v>40543</v>
      </c>
      <c r="B175" s="26">
        <v>6.4129999999999994E-3</v>
      </c>
      <c r="C175" s="22">
        <f t="shared" si="3"/>
        <v>0</v>
      </c>
      <c r="D175" s="22">
        <f>SUM($B175:$B$1038)</f>
        <v>0.6603290000000005</v>
      </c>
      <c r="F175" s="29"/>
    </row>
    <row r="176" spans="1:6">
      <c r="A176" s="20">
        <v>40574</v>
      </c>
      <c r="B176" s="26">
        <v>5.7189999999999993E-3</v>
      </c>
      <c r="C176" s="22">
        <f t="shared" si="3"/>
        <v>0</v>
      </c>
      <c r="D176" s="22">
        <f>SUM($B176:$B$1038)</f>
        <v>0.65391600000000039</v>
      </c>
      <c r="F176" s="29"/>
    </row>
    <row r="177" spans="1:6">
      <c r="A177" s="23">
        <v>40602</v>
      </c>
      <c r="B177" s="26">
        <v>5.5269999999999998E-3</v>
      </c>
      <c r="C177" s="22">
        <f t="shared" si="3"/>
        <v>0</v>
      </c>
      <c r="D177" s="22">
        <f>SUM($B177:$B$1038)</f>
        <v>0.64819700000000036</v>
      </c>
      <c r="F177" s="29"/>
    </row>
    <row r="178" spans="1:6">
      <c r="A178" s="23">
        <v>40633</v>
      </c>
      <c r="B178" s="26">
        <v>6.2180000000000004E-3</v>
      </c>
      <c r="C178" s="22">
        <f t="shared" si="3"/>
        <v>0</v>
      </c>
      <c r="D178" s="22">
        <f>SUM($B178:$B$1038)</f>
        <v>0.6426700000000003</v>
      </c>
      <c r="F178" s="29"/>
    </row>
    <row r="179" spans="1:6">
      <c r="A179" s="23">
        <v>40663</v>
      </c>
      <c r="B179" s="26">
        <v>5.3709999999999999E-3</v>
      </c>
      <c r="C179" s="22">
        <f t="shared" si="3"/>
        <v>0</v>
      </c>
      <c r="D179" s="22">
        <f>SUM($B179:$B$1038)</f>
        <v>0.63645200000000035</v>
      </c>
      <c r="F179" s="29"/>
    </row>
    <row r="180" spans="1:6">
      <c r="A180" s="23">
        <v>40694</v>
      </c>
      <c r="B180" s="26">
        <v>6.5780000000000005E-3</v>
      </c>
      <c r="C180" s="22">
        <f t="shared" si="3"/>
        <v>0</v>
      </c>
      <c r="D180" s="22">
        <f>SUM($B180:$B$1038)</f>
        <v>0.63108100000000034</v>
      </c>
      <c r="F180" s="29"/>
    </row>
    <row r="181" spans="1:6">
      <c r="A181" s="23">
        <v>40724</v>
      </c>
      <c r="B181" s="26">
        <v>6.1199999999999996E-3</v>
      </c>
      <c r="C181" s="22">
        <f t="shared" si="3"/>
        <v>0</v>
      </c>
      <c r="D181" s="22">
        <f>SUM($B181:$B$1038)</f>
        <v>0.62450300000000036</v>
      </c>
      <c r="F181" s="29"/>
    </row>
    <row r="182" spans="1:6">
      <c r="A182" s="23">
        <v>40755</v>
      </c>
      <c r="B182" s="26">
        <v>6.235000000000001E-3</v>
      </c>
      <c r="C182" s="22">
        <f t="shared" si="3"/>
        <v>0</v>
      </c>
      <c r="D182" s="22">
        <f>SUM($B182:$B$1038)</f>
        <v>0.61838300000000035</v>
      </c>
      <c r="F182" s="29"/>
    </row>
    <row r="183" spans="1:6">
      <c r="A183" s="23">
        <v>40786</v>
      </c>
      <c r="B183" s="26">
        <v>7.0860000000000003E-3</v>
      </c>
      <c r="C183" s="22">
        <f t="shared" si="3"/>
        <v>0</v>
      </c>
      <c r="D183" s="22">
        <f>SUM($B183:$B$1038)</f>
        <v>0.61214800000000036</v>
      </c>
      <c r="F183" s="29"/>
    </row>
    <row r="184" spans="1:6">
      <c r="A184" s="23">
        <v>40816</v>
      </c>
      <c r="B184" s="26">
        <v>6.0080000000000003E-3</v>
      </c>
      <c r="C184" s="22">
        <f t="shared" si="3"/>
        <v>0</v>
      </c>
      <c r="D184" s="22">
        <f>SUM($B184:$B$1038)</f>
        <v>0.60506200000000043</v>
      </c>
      <c r="F184" s="29"/>
    </row>
    <row r="185" spans="1:6">
      <c r="A185" s="23">
        <v>40847</v>
      </c>
      <c r="B185" s="26">
        <v>5.6230000000000004E-3</v>
      </c>
      <c r="C185" s="22">
        <f t="shared" si="3"/>
        <v>0</v>
      </c>
      <c r="D185" s="22">
        <f>SUM($B185:$B$1038)</f>
        <v>0.59905400000000042</v>
      </c>
      <c r="F185" s="29"/>
    </row>
    <row r="186" spans="1:6">
      <c r="A186" s="23">
        <v>40877</v>
      </c>
      <c r="B186" s="26">
        <v>5.6479999999999994E-3</v>
      </c>
      <c r="C186" s="22">
        <f t="shared" si="3"/>
        <v>0</v>
      </c>
      <c r="D186" s="22">
        <f>SUM($B186:$B$1038)</f>
        <v>0.59343100000000037</v>
      </c>
      <c r="F186" s="29"/>
    </row>
    <row r="187" spans="1:6">
      <c r="A187" s="23">
        <v>40908</v>
      </c>
      <c r="B187" s="26">
        <v>5.9419999999999994E-3</v>
      </c>
      <c r="C187" s="22">
        <f t="shared" si="3"/>
        <v>0</v>
      </c>
      <c r="D187" s="22">
        <f>SUM($B187:$B$1038)</f>
        <v>0.58778300000000039</v>
      </c>
      <c r="F187" s="29"/>
    </row>
    <row r="188" spans="1:6">
      <c r="A188" s="20">
        <v>40939</v>
      </c>
      <c r="B188" s="26">
        <v>5.868E-3</v>
      </c>
      <c r="C188" s="22">
        <f t="shared" si="3"/>
        <v>0</v>
      </c>
      <c r="D188" s="22">
        <f>SUM($B188:$B$1038)</f>
        <v>0.5818410000000005</v>
      </c>
      <c r="F188" s="29"/>
    </row>
    <row r="189" spans="1:6">
      <c r="A189" s="23">
        <v>40968</v>
      </c>
      <c r="B189" s="26">
        <v>5.0000000000000001E-3</v>
      </c>
      <c r="C189" s="22">
        <f t="shared" si="3"/>
        <v>0</v>
      </c>
      <c r="D189" s="22">
        <f>SUM($B189:$B$1038)</f>
        <v>0.57597300000000029</v>
      </c>
      <c r="F189" s="29"/>
    </row>
    <row r="190" spans="1:6">
      <c r="A190" s="23">
        <v>40999</v>
      </c>
      <c r="B190" s="26">
        <v>6.0729999999999994E-3</v>
      </c>
      <c r="C190" s="22">
        <f t="shared" si="3"/>
        <v>0</v>
      </c>
      <c r="D190" s="22">
        <f>SUM($B190:$B$1038)</f>
        <v>0.5709730000000004</v>
      </c>
      <c r="F190" s="29"/>
    </row>
    <row r="191" spans="1:6">
      <c r="A191" s="23">
        <v>41029</v>
      </c>
      <c r="B191" s="26">
        <v>5.228E-3</v>
      </c>
      <c r="C191" s="22">
        <f t="shared" si="3"/>
        <v>0</v>
      </c>
      <c r="D191" s="22">
        <f>SUM($B191:$B$1038)</f>
        <v>0.56490000000000029</v>
      </c>
      <c r="F191" s="29"/>
    </row>
    <row r="192" spans="1:6">
      <c r="A192" s="23">
        <v>41060</v>
      </c>
      <c r="B192" s="26">
        <v>5.47E-3</v>
      </c>
      <c r="C192" s="22">
        <f t="shared" si="3"/>
        <v>0</v>
      </c>
      <c r="D192" s="22">
        <f>SUM($B192:$B$1038)</f>
        <v>0.55967200000000017</v>
      </c>
      <c r="F192" s="29"/>
    </row>
    <row r="193" spans="1:6">
      <c r="A193" s="23">
        <v>41090</v>
      </c>
      <c r="B193" s="26">
        <v>5.0000000000000001E-3</v>
      </c>
      <c r="C193" s="22">
        <f t="shared" si="3"/>
        <v>0</v>
      </c>
      <c r="D193" s="22">
        <f>SUM($B193:$B$1038)</f>
        <v>0.55420200000000031</v>
      </c>
      <c r="F193" s="29"/>
    </row>
    <row r="194" spans="1:6">
      <c r="A194" s="23">
        <v>41121</v>
      </c>
      <c r="B194" s="26">
        <v>5.1449999999999994E-3</v>
      </c>
      <c r="C194" s="22">
        <f t="shared" si="3"/>
        <v>0</v>
      </c>
      <c r="D194" s="22">
        <f>SUM($B194:$B$1038)</f>
        <v>0.5492020000000003</v>
      </c>
      <c r="F194" s="29"/>
    </row>
    <row r="195" spans="1:6">
      <c r="A195" s="23">
        <v>41152</v>
      </c>
      <c r="B195" s="26">
        <v>5.1240000000000001E-3</v>
      </c>
      <c r="C195" s="22">
        <f t="shared" si="3"/>
        <v>0</v>
      </c>
      <c r="D195" s="22">
        <f>SUM($B195:$B$1038)</f>
        <v>0.54405700000000023</v>
      </c>
      <c r="F195" s="29"/>
    </row>
    <row r="196" spans="1:6">
      <c r="A196" s="23">
        <v>41182</v>
      </c>
      <c r="B196" s="26">
        <v>5.0000000000000001E-3</v>
      </c>
      <c r="C196" s="22">
        <f t="shared" si="3"/>
        <v>0</v>
      </c>
      <c r="D196" s="22">
        <f>SUM($B196:$B$1038)</f>
        <v>0.53893300000000033</v>
      </c>
      <c r="F196" s="29"/>
    </row>
    <row r="197" spans="1:6">
      <c r="A197" s="23">
        <v>41213</v>
      </c>
      <c r="B197" s="26">
        <v>5.0000000000000001E-3</v>
      </c>
      <c r="C197" s="22">
        <f t="shared" si="3"/>
        <v>0</v>
      </c>
      <c r="D197" s="22">
        <f>SUM($B197:$B$1038)</f>
        <v>0.53393300000000032</v>
      </c>
      <c r="F197" s="29"/>
    </row>
    <row r="198" spans="1:6">
      <c r="A198" s="23">
        <v>41243</v>
      </c>
      <c r="B198" s="26">
        <v>5.0000000000000001E-3</v>
      </c>
      <c r="C198" s="22">
        <f t="shared" si="3"/>
        <v>0</v>
      </c>
      <c r="D198" s="22">
        <f>SUM($B198:$B$1038)</f>
        <v>0.52893300000000032</v>
      </c>
      <c r="F198" s="29"/>
    </row>
    <row r="199" spans="1:6">
      <c r="A199" s="23">
        <v>41274</v>
      </c>
      <c r="B199" s="26">
        <v>5.0000000000000001E-3</v>
      </c>
      <c r="C199" s="22">
        <f t="shared" si="3"/>
        <v>0</v>
      </c>
      <c r="D199" s="22">
        <f>SUM($B199:$B$1038)</f>
        <v>0.52393300000000043</v>
      </c>
      <c r="F199" s="29"/>
    </row>
    <row r="200" spans="1:6">
      <c r="A200" s="20">
        <v>41305</v>
      </c>
      <c r="B200" s="26">
        <v>5.0000000000000001E-3</v>
      </c>
      <c r="C200" s="22">
        <f t="shared" si="3"/>
        <v>0</v>
      </c>
      <c r="D200" s="22">
        <f>SUM($B200:$B$1038)</f>
        <v>0.51893300000000053</v>
      </c>
      <c r="F200" s="29"/>
    </row>
    <row r="201" spans="1:6">
      <c r="A201" s="23">
        <v>41333</v>
      </c>
      <c r="B201" s="26">
        <v>5.0000000000000001E-3</v>
      </c>
      <c r="C201" s="22">
        <f t="shared" si="3"/>
        <v>0</v>
      </c>
      <c r="D201" s="22">
        <f>SUM($B201:$B$1038)</f>
        <v>0.51393300000000042</v>
      </c>
      <c r="F201" s="29"/>
    </row>
    <row r="202" spans="1:6">
      <c r="A202" s="23">
        <v>41364</v>
      </c>
      <c r="B202" s="26">
        <v>5.0000000000000001E-3</v>
      </c>
      <c r="C202" s="22">
        <f t="shared" si="3"/>
        <v>0</v>
      </c>
      <c r="D202" s="22">
        <f>SUM($B202:$B$1038)</f>
        <v>0.50893300000000041</v>
      </c>
      <c r="F202" s="29"/>
    </row>
    <row r="203" spans="1:6">
      <c r="A203" s="23">
        <v>41394</v>
      </c>
      <c r="B203" s="26">
        <v>5.0000000000000001E-3</v>
      </c>
      <c r="C203" s="22">
        <f t="shared" si="3"/>
        <v>0</v>
      </c>
      <c r="D203" s="22">
        <f>SUM($B203:$B$1038)</f>
        <v>0.50393300000000052</v>
      </c>
      <c r="F203" s="29"/>
    </row>
    <row r="204" spans="1:6">
      <c r="A204" s="23">
        <v>41425</v>
      </c>
      <c r="B204" s="26">
        <v>5.0000000000000001E-3</v>
      </c>
      <c r="C204" s="22">
        <f t="shared" si="3"/>
        <v>0</v>
      </c>
      <c r="D204" s="22">
        <f>SUM($B204:$B$1038)</f>
        <v>0.49893300000000057</v>
      </c>
      <c r="F204" s="29"/>
    </row>
    <row r="205" spans="1:6">
      <c r="A205" s="23">
        <v>41455</v>
      </c>
      <c r="B205" s="26">
        <v>5.0000000000000001E-3</v>
      </c>
      <c r="C205" s="22">
        <f t="shared" si="3"/>
        <v>0</v>
      </c>
      <c r="D205" s="22">
        <f>SUM($B205:$B$1038)</f>
        <v>0.49393300000000057</v>
      </c>
      <c r="F205" s="29"/>
    </row>
    <row r="206" spans="1:6">
      <c r="A206" s="23">
        <v>41486</v>
      </c>
      <c r="B206" s="26">
        <v>5.2100000000000002E-3</v>
      </c>
      <c r="C206" s="22">
        <f t="shared" si="3"/>
        <v>0</v>
      </c>
      <c r="D206" s="22">
        <f>SUM($B206:$B$1038)</f>
        <v>0.48893300000000056</v>
      </c>
      <c r="F206" s="29"/>
    </row>
    <row r="207" spans="1:6">
      <c r="A207" s="23">
        <v>41517</v>
      </c>
      <c r="B207" s="26">
        <v>5.0000000000000001E-3</v>
      </c>
      <c r="C207" s="22">
        <f t="shared" si="3"/>
        <v>0</v>
      </c>
      <c r="D207" s="22">
        <f>SUM($B207:$B$1038)</f>
        <v>0.48372300000000051</v>
      </c>
      <c r="F207" s="29"/>
    </row>
    <row r="208" spans="1:6">
      <c r="A208" s="23">
        <v>41547</v>
      </c>
      <c r="B208" s="26">
        <v>5.0790000000000002E-3</v>
      </c>
      <c r="C208" s="22">
        <f t="shared" si="3"/>
        <v>0</v>
      </c>
      <c r="D208" s="22">
        <f>SUM($B208:$B$1038)</f>
        <v>0.47872300000000051</v>
      </c>
      <c r="F208" s="29"/>
    </row>
    <row r="209" spans="1:6">
      <c r="A209" s="23">
        <v>41578</v>
      </c>
      <c r="B209" s="26">
        <v>5.9250000000000006E-3</v>
      </c>
      <c r="C209" s="22">
        <f t="shared" si="3"/>
        <v>0</v>
      </c>
      <c r="D209" s="22">
        <f>SUM($B209:$B$1038)</f>
        <v>0.47364400000000056</v>
      </c>
      <c r="F209" s="29"/>
    </row>
    <row r="210" spans="1:6">
      <c r="A210" s="23">
        <v>41608</v>
      </c>
      <c r="B210" s="26">
        <v>5.2080000000000008E-3</v>
      </c>
      <c r="C210" s="22">
        <f t="shared" si="3"/>
        <v>0</v>
      </c>
      <c r="D210" s="22">
        <f>SUM($B210:$B$1038)</f>
        <v>0.46771900000000061</v>
      </c>
      <c r="F210" s="29"/>
    </row>
    <row r="211" spans="1:6">
      <c r="A211" s="23">
        <v>41639</v>
      </c>
      <c r="B211" s="26">
        <v>5.496E-3</v>
      </c>
      <c r="C211" s="22">
        <f t="shared" si="3"/>
        <v>0</v>
      </c>
      <c r="D211" s="22">
        <f>SUM($B211:$B$1038)</f>
        <v>0.46251100000000062</v>
      </c>
      <c r="F211" s="29"/>
    </row>
    <row r="212" spans="1:6">
      <c r="A212" s="20">
        <v>41670</v>
      </c>
      <c r="B212" s="26">
        <v>6.1319999999999994E-3</v>
      </c>
      <c r="C212" s="22">
        <f t="shared" si="3"/>
        <v>0</v>
      </c>
      <c r="D212" s="22">
        <f>SUM($B212:$B$1038)</f>
        <v>0.45701500000000056</v>
      </c>
      <c r="F212" s="29"/>
    </row>
    <row r="213" spans="1:6">
      <c r="A213" s="23">
        <v>41698</v>
      </c>
      <c r="B213" s="27">
        <v>5.5400000000000007E-3</v>
      </c>
      <c r="C213" s="22">
        <f t="shared" si="3"/>
        <v>0</v>
      </c>
      <c r="D213" s="22">
        <f>SUM($B213:$B$1038)</f>
        <v>0.45088300000000064</v>
      </c>
      <c r="F213" s="29"/>
    </row>
    <row r="214" spans="1:6">
      <c r="A214" s="23">
        <v>41729</v>
      </c>
      <c r="B214" s="27">
        <v>5.2669999999999991E-3</v>
      </c>
      <c r="C214" s="22">
        <f t="shared" si="3"/>
        <v>0</v>
      </c>
      <c r="D214" s="22">
        <f>SUM($B214:$B$1038)</f>
        <v>0.44534300000000054</v>
      </c>
      <c r="F214" s="29"/>
    </row>
    <row r="215" spans="1:6">
      <c r="A215" s="23">
        <v>41759</v>
      </c>
      <c r="B215" s="27">
        <v>5.4610000000000006E-3</v>
      </c>
      <c r="C215" s="22">
        <f t="shared" si="3"/>
        <v>0</v>
      </c>
      <c r="D215" s="22">
        <f>SUM($B215:$B$1038)</f>
        <v>0.44007600000000052</v>
      </c>
      <c r="F215" s="29"/>
    </row>
    <row r="216" spans="1:6">
      <c r="A216" s="23">
        <v>41790</v>
      </c>
      <c r="B216" s="27">
        <v>5.607E-3</v>
      </c>
      <c r="C216" s="22">
        <f t="shared" si="3"/>
        <v>0</v>
      </c>
      <c r="D216" s="22">
        <f>SUM($B216:$B$1038)</f>
        <v>0.43461500000000058</v>
      </c>
      <c r="F216" s="29"/>
    </row>
    <row r="217" spans="1:6">
      <c r="A217" s="23">
        <v>41820</v>
      </c>
      <c r="B217" s="27">
        <v>5.4669999999999996E-3</v>
      </c>
      <c r="C217" s="22">
        <f t="shared" si="3"/>
        <v>0</v>
      </c>
      <c r="D217" s="22">
        <f>SUM($B217:$B$1038)</f>
        <v>0.42900800000000056</v>
      </c>
      <c r="F217" s="29"/>
    </row>
    <row r="218" spans="1:6">
      <c r="A218" s="23">
        <v>41851</v>
      </c>
      <c r="B218" s="27">
        <v>6.0590000000000001E-3</v>
      </c>
      <c r="C218" s="22">
        <f t="shared" si="3"/>
        <v>0</v>
      </c>
      <c r="D218" s="22">
        <f>SUM($B218:$B$1038)</f>
        <v>0.4235410000000005</v>
      </c>
      <c r="F218" s="29"/>
    </row>
    <row r="219" spans="1:6">
      <c r="A219" s="23">
        <v>41882</v>
      </c>
      <c r="B219" s="27">
        <v>5.6049999999999997E-3</v>
      </c>
      <c r="C219" s="22">
        <f t="shared" si="3"/>
        <v>0</v>
      </c>
      <c r="D219" s="22">
        <f>SUM($B219:$B$1038)</f>
        <v>0.41748200000000046</v>
      </c>
      <c r="F219" s="29"/>
    </row>
    <row r="220" spans="1:6">
      <c r="A220" s="23">
        <v>41912</v>
      </c>
      <c r="B220" s="27">
        <v>5.8770000000000003E-3</v>
      </c>
      <c r="C220" s="22">
        <f t="shared" si="3"/>
        <v>0</v>
      </c>
      <c r="D220" s="22">
        <f>SUM($B220:$B$1038)</f>
        <v>0.41187700000000049</v>
      </c>
      <c r="F220" s="29"/>
    </row>
    <row r="221" spans="1:6">
      <c r="A221" s="23">
        <v>41943</v>
      </c>
      <c r="B221" s="27">
        <v>6.0429999999999998E-3</v>
      </c>
      <c r="C221" s="22">
        <f t="shared" si="3"/>
        <v>0</v>
      </c>
      <c r="D221" s="22">
        <f>SUM($B221:$B$1038)</f>
        <v>0.40600000000000047</v>
      </c>
      <c r="F221" s="29"/>
    </row>
    <row r="222" spans="1:6">
      <c r="A222" s="23">
        <v>41973</v>
      </c>
      <c r="B222" s="27">
        <v>5.4850000000000003E-3</v>
      </c>
      <c r="C222" s="22">
        <f t="shared" si="3"/>
        <v>0</v>
      </c>
      <c r="D222" s="22">
        <f>SUM($B222:$B$1038)</f>
        <v>0.39995700000000045</v>
      </c>
      <c r="F222" s="29"/>
    </row>
    <row r="223" spans="1:6">
      <c r="A223" s="23">
        <v>42004</v>
      </c>
      <c r="B223" s="27">
        <v>6.058E-3</v>
      </c>
      <c r="C223" s="22">
        <f t="shared" si="3"/>
        <v>0</v>
      </c>
      <c r="D223" s="22">
        <f>SUM($B223:$B$1038)</f>
        <v>0.39447200000000043</v>
      </c>
      <c r="F223" s="29"/>
    </row>
    <row r="224" spans="1:6">
      <c r="A224" s="23">
        <v>42035</v>
      </c>
      <c r="B224" s="27">
        <v>5.8819999999999992E-3</v>
      </c>
      <c r="C224" s="22">
        <f t="shared" si="3"/>
        <v>0</v>
      </c>
      <c r="D224" s="22">
        <f>SUM($B224:$B$1038)</f>
        <v>0.38841400000000037</v>
      </c>
      <c r="F224" s="29"/>
    </row>
    <row r="225" spans="1:8">
      <c r="A225" s="23">
        <v>42063</v>
      </c>
      <c r="B225" s="27">
        <v>5.169E-3</v>
      </c>
      <c r="C225" s="22">
        <f t="shared" si="3"/>
        <v>0</v>
      </c>
      <c r="D225" s="22">
        <f>SUM($B225:$B$1038)</f>
        <v>0.38253200000000032</v>
      </c>
      <c r="F225" s="29"/>
    </row>
    <row r="226" spans="1:8">
      <c r="A226" s="23">
        <v>42094</v>
      </c>
      <c r="B226" s="27">
        <v>6.3019999999999994E-3</v>
      </c>
      <c r="C226" s="22">
        <f t="shared" si="3"/>
        <v>0</v>
      </c>
      <c r="D226" s="22">
        <f>SUM($B226:$B$1038)</f>
        <v>0.37736300000000023</v>
      </c>
      <c r="F226" s="29"/>
    </row>
    <row r="227" spans="1:8">
      <c r="A227" s="23">
        <v>42124</v>
      </c>
      <c r="B227" s="27">
        <v>6.0790000000000002E-3</v>
      </c>
      <c r="C227" s="22">
        <f t="shared" si="3"/>
        <v>0</v>
      </c>
      <c r="D227" s="22">
        <f>SUM($B227:$B$1038)</f>
        <v>0.3710610000000002</v>
      </c>
      <c r="F227" s="29"/>
    </row>
    <row r="228" spans="1:8">
      <c r="A228" s="23">
        <v>42155</v>
      </c>
      <c r="B228" s="27">
        <v>6.1590000000000004E-3</v>
      </c>
      <c r="C228" s="22">
        <f t="shared" si="3"/>
        <v>0</v>
      </c>
      <c r="D228" s="22">
        <f>SUM($B228:$B$1038)</f>
        <v>0.3649820000000002</v>
      </c>
      <c r="F228" s="29"/>
    </row>
    <row r="229" spans="1:8">
      <c r="A229" s="23">
        <v>42185</v>
      </c>
      <c r="B229" s="27">
        <v>6.8219999999999999E-3</v>
      </c>
      <c r="C229" s="22">
        <f t="shared" si="3"/>
        <v>0</v>
      </c>
      <c r="D229" s="22">
        <f>SUM($B229:$B$1038)</f>
        <v>0.35882300000000011</v>
      </c>
      <c r="F229" s="29"/>
    </row>
    <row r="230" spans="1:8">
      <c r="A230" s="23">
        <v>42216</v>
      </c>
      <c r="B230" s="27">
        <v>7.3170000000000006E-3</v>
      </c>
      <c r="C230" s="22">
        <f t="shared" si="3"/>
        <v>0</v>
      </c>
      <c r="D230" s="22">
        <f>SUM($B230:$B$1038)</f>
        <v>0.35200100000000006</v>
      </c>
      <c r="F230" s="29"/>
    </row>
    <row r="231" spans="1:8">
      <c r="A231" s="23">
        <v>42247</v>
      </c>
      <c r="B231" s="27">
        <v>6.8760000000000002E-3</v>
      </c>
      <c r="C231" s="22">
        <f t="shared" si="3"/>
        <v>0</v>
      </c>
      <c r="D231" s="22">
        <f>SUM($B231:$B$1038)</f>
        <v>0.34468400000000005</v>
      </c>
      <c r="F231" s="29"/>
    </row>
    <row r="232" spans="1:8">
      <c r="A232" s="23">
        <v>42277</v>
      </c>
      <c r="B232" s="27">
        <v>6.9299999999999995E-3</v>
      </c>
      <c r="C232" s="22">
        <f t="shared" si="3"/>
        <v>0</v>
      </c>
      <c r="D232" s="22">
        <f>SUM($B232:$B$1038)</f>
        <v>0.337808</v>
      </c>
      <c r="F232" s="29"/>
    </row>
    <row r="233" spans="1:8">
      <c r="A233" s="23">
        <v>42308</v>
      </c>
      <c r="B233" s="27">
        <v>6.7989999999999995E-3</v>
      </c>
      <c r="C233" s="22">
        <f t="shared" si="3"/>
        <v>0</v>
      </c>
      <c r="D233" s="22">
        <f>SUM($B233:$B$1038)</f>
        <v>0.33087800000000001</v>
      </c>
      <c r="F233" s="29"/>
    </row>
    <row r="234" spans="1:8">
      <c r="A234" s="23">
        <v>42338</v>
      </c>
      <c r="B234" s="27">
        <v>6.3029999999999996E-3</v>
      </c>
      <c r="C234" s="22">
        <f t="shared" si="3"/>
        <v>0</v>
      </c>
      <c r="D234" s="22">
        <f>SUM($B234:$B$1038)</f>
        <v>0.32407900000000006</v>
      </c>
      <c r="F234" s="29"/>
    </row>
    <row r="235" spans="1:8">
      <c r="A235" s="23">
        <v>42369</v>
      </c>
      <c r="B235" s="27">
        <v>7.2610000000000001E-3</v>
      </c>
      <c r="C235" s="22">
        <f t="shared" si="3"/>
        <v>0</v>
      </c>
      <c r="D235" s="22">
        <f>SUM($B235:$B$1038)</f>
        <v>0.31777600000000011</v>
      </c>
      <c r="F235" s="29"/>
    </row>
    <row r="236" spans="1:8">
      <c r="A236" s="23">
        <v>42400</v>
      </c>
      <c r="B236" s="27">
        <v>6.3270000000000002E-3</v>
      </c>
      <c r="C236" s="22">
        <f t="shared" ref="C236:C251" si="4">IF(EOMONTH($F$2,-60)&lt;A236,SUM(B237:B295),0)</f>
        <v>0</v>
      </c>
      <c r="D236" s="22">
        <f>SUM($B236:$B$1038)</f>
        <v>0.31051500000000004</v>
      </c>
      <c r="F236" s="29"/>
    </row>
    <row r="237" spans="1:8">
      <c r="A237" s="23">
        <v>42429</v>
      </c>
      <c r="B237" s="27">
        <v>5.9619999999999994E-3</v>
      </c>
      <c r="C237" s="22">
        <f t="shared" si="4"/>
        <v>0</v>
      </c>
      <c r="D237" s="22">
        <f>SUM($B237:$B$1038)</f>
        <v>0.30418799999999996</v>
      </c>
      <c r="F237" s="29"/>
    </row>
    <row r="238" spans="1:8">
      <c r="A238" s="23">
        <v>42460</v>
      </c>
      <c r="B238" s="27">
        <v>7.1789999999999996E-3</v>
      </c>
      <c r="C238" s="22">
        <f t="shared" si="4"/>
        <v>0</v>
      </c>
      <c r="D238" s="22">
        <f>SUM($B238:$B$1038)</f>
        <v>0.29822599999999999</v>
      </c>
      <c r="F238" s="29"/>
      <c r="G238" s="1"/>
      <c r="H238" s="1"/>
    </row>
    <row r="239" spans="1:8">
      <c r="A239" s="23">
        <v>42490</v>
      </c>
      <c r="B239" s="27">
        <v>6.3109999999999998E-3</v>
      </c>
      <c r="C239" s="22">
        <f t="shared" si="4"/>
        <v>0</v>
      </c>
      <c r="D239" s="22">
        <f>SUM($B239:$B$1038)</f>
        <v>0.29104699999999994</v>
      </c>
      <c r="F239" s="29"/>
    </row>
    <row r="240" spans="1:8">
      <c r="A240" s="23">
        <v>42521</v>
      </c>
      <c r="B240" s="27">
        <v>6.5409999999999999E-3</v>
      </c>
      <c r="C240" s="22">
        <f t="shared" si="4"/>
        <v>0</v>
      </c>
      <c r="D240" s="22">
        <f>SUM($B240:$B$1038)</f>
        <v>0.28473599999999993</v>
      </c>
      <c r="F240" s="29"/>
    </row>
    <row r="241" spans="1:7">
      <c r="A241" s="23">
        <v>42551</v>
      </c>
      <c r="B241" s="27">
        <v>7.0530000000000002E-3</v>
      </c>
      <c r="C241" s="22">
        <f t="shared" si="4"/>
        <v>0</v>
      </c>
      <c r="D241" s="22">
        <f>SUM($B241:$B$1038)</f>
        <v>0.27819499999999986</v>
      </c>
      <c r="F241" s="29"/>
      <c r="G241" s="28"/>
    </row>
    <row r="242" spans="1:7">
      <c r="A242" s="23">
        <v>42582</v>
      </c>
      <c r="B242" s="27">
        <v>6.6290000000000003E-3</v>
      </c>
      <c r="C242" s="22">
        <f t="shared" si="4"/>
        <v>0</v>
      </c>
      <c r="D242" s="22">
        <f>SUM($B242:$B$1038)</f>
        <v>0.27114199999999988</v>
      </c>
      <c r="F242" s="29"/>
    </row>
    <row r="243" spans="1:7">
      <c r="A243" s="23">
        <v>42613</v>
      </c>
      <c r="B243" s="27">
        <v>7.5580000000000005E-3</v>
      </c>
      <c r="C243" s="22">
        <f t="shared" si="4"/>
        <v>0</v>
      </c>
      <c r="D243" s="22">
        <f>SUM($B243:$B$1038)</f>
        <v>0.26451299999999989</v>
      </c>
      <c r="F243" s="29"/>
    </row>
    <row r="244" spans="1:7">
      <c r="A244" s="23">
        <v>42643</v>
      </c>
      <c r="B244" s="27">
        <v>6.5830000000000003E-3</v>
      </c>
      <c r="C244" s="22">
        <f t="shared" si="4"/>
        <v>0</v>
      </c>
      <c r="D244" s="22">
        <f>SUM($B244:$B$1038)</f>
        <v>0.25695499999999988</v>
      </c>
      <c r="F244" s="29"/>
    </row>
    <row r="245" spans="1:7">
      <c r="A245" s="23">
        <v>42674</v>
      </c>
      <c r="B245" s="27">
        <v>6.6090000000000003E-3</v>
      </c>
      <c r="C245" s="22">
        <f t="shared" si="4"/>
        <v>0</v>
      </c>
      <c r="D245" s="22">
        <f>SUM($B245:$B$1038)</f>
        <v>0.25037199999999993</v>
      </c>
      <c r="F245" s="29"/>
    </row>
    <row r="246" spans="1:7">
      <c r="A246" s="23">
        <v>42704</v>
      </c>
      <c r="B246" s="27">
        <v>6.4349999999999997E-3</v>
      </c>
      <c r="C246" s="22">
        <f t="shared" si="4"/>
        <v>0</v>
      </c>
      <c r="D246" s="22">
        <f>SUM($B246:$B$1038)</f>
        <v>0.24376299999999992</v>
      </c>
      <c r="F246" s="29"/>
    </row>
    <row r="247" spans="1:7">
      <c r="A247" s="23">
        <v>42735</v>
      </c>
      <c r="B247" s="27">
        <v>6.8579999999999995E-3</v>
      </c>
      <c r="C247" s="22">
        <f t="shared" si="4"/>
        <v>0</v>
      </c>
      <c r="D247" s="22">
        <f>SUM($B247:$B$1038)</f>
        <v>0.23732799999999993</v>
      </c>
      <c r="F247" s="29"/>
    </row>
    <row r="248" spans="1:7">
      <c r="A248" s="23">
        <v>42766</v>
      </c>
      <c r="B248" s="27">
        <v>6.7090000000000006E-3</v>
      </c>
      <c r="C248" s="22">
        <f t="shared" si="4"/>
        <v>0</v>
      </c>
      <c r="D248" s="22">
        <f>SUM($B248:$B$1038)</f>
        <v>0.23046999999999992</v>
      </c>
      <c r="F248" s="29"/>
    </row>
    <row r="249" spans="1:7">
      <c r="A249" s="23">
        <v>42794</v>
      </c>
      <c r="B249" s="27">
        <v>5.3039999999999997E-3</v>
      </c>
      <c r="C249" s="22">
        <f t="shared" si="4"/>
        <v>0</v>
      </c>
      <c r="D249" s="22">
        <f>SUM($B249:$B$1038)</f>
        <v>0.22376099999999993</v>
      </c>
      <c r="F249" s="29"/>
    </row>
    <row r="250" spans="1:7">
      <c r="A250" s="23">
        <v>42825</v>
      </c>
      <c r="B250" s="27">
        <v>6.5269999999999998E-3</v>
      </c>
      <c r="C250" s="22">
        <f t="shared" si="4"/>
        <v>0</v>
      </c>
      <c r="D250" s="22">
        <f>SUM($B250:$B$1038)</f>
        <v>0.21845699999999993</v>
      </c>
      <c r="F250" s="29"/>
    </row>
    <row r="251" spans="1:7">
      <c r="A251" s="23">
        <v>42855</v>
      </c>
      <c r="B251" s="27">
        <v>5.0000000000000001E-3</v>
      </c>
      <c r="C251" s="22">
        <f t="shared" si="4"/>
        <v>0</v>
      </c>
      <c r="D251" s="22">
        <f>SUM($B251:$B$1038)</f>
        <v>0.21192999999999995</v>
      </c>
      <c r="F251" s="29"/>
    </row>
    <row r="252" spans="1:7">
      <c r="A252" s="23">
        <v>42886</v>
      </c>
      <c r="B252" s="27">
        <v>5.7679999999999997E-3</v>
      </c>
      <c r="C252" s="22">
        <f>IF(EOMONTH($F$2,-60)&lt;A252,SUM(B253:B310),0)</f>
        <v>0.18893299999999993</v>
      </c>
      <c r="D252" s="22">
        <f>SUM($B252:$B$1038)</f>
        <v>0.20692999999999995</v>
      </c>
      <c r="F252" s="29"/>
    </row>
    <row r="253" spans="1:7">
      <c r="A253" s="23">
        <v>42916</v>
      </c>
      <c r="B253" s="27">
        <v>5.5389999999999997E-3</v>
      </c>
      <c r="C253" s="22">
        <f>IF(EOMONTH($F$2,-60)&lt;A253,SUM(B254:B310),0)</f>
        <v>0.18339399999999995</v>
      </c>
      <c r="D253" s="22">
        <f>SUM($B253:$B$1038)</f>
        <v>0.20116199999999995</v>
      </c>
      <c r="F253" s="29"/>
    </row>
    <row r="254" spans="1:7">
      <c r="A254" s="23">
        <v>42947</v>
      </c>
      <c r="B254" s="27">
        <v>5.6259999999999999E-3</v>
      </c>
      <c r="C254" s="22">
        <f>IF(EOMONTH($F$2,-60)&lt;A254,SUM(B255:B310),0)</f>
        <v>0.17776799999999995</v>
      </c>
      <c r="D254" s="22">
        <f>SUM($B254:$B$1038)</f>
        <v>0.19562299999999996</v>
      </c>
      <c r="F254" s="29"/>
    </row>
    <row r="255" spans="1:7">
      <c r="A255" s="23">
        <v>42978</v>
      </c>
      <c r="B255" s="27">
        <v>5.5120000000000004E-3</v>
      </c>
      <c r="C255" s="22">
        <f>IF(EOMONTH($F$2,-60)&lt;A255,SUM(B256:B310),0)</f>
        <v>0.17225599999999996</v>
      </c>
      <c r="D255" s="22">
        <f>SUM($B255:$B$1038)</f>
        <v>0.18999699999999997</v>
      </c>
      <c r="F255" s="29"/>
    </row>
    <row r="256" spans="1:7">
      <c r="A256" s="23">
        <v>43008</v>
      </c>
      <c r="B256" s="27">
        <v>5.0000000000000001E-3</v>
      </c>
      <c r="C256" s="22">
        <f>IF(EOMONTH($F$2,-60)&lt;A256,SUM(B257:B310),0)</f>
        <v>0.16725599999999996</v>
      </c>
      <c r="D256" s="22">
        <f>SUM($B256:$B$1038)</f>
        <v>0.18448499999999998</v>
      </c>
      <c r="F256" s="29"/>
    </row>
    <row r="257" spans="1:6">
      <c r="A257" s="23">
        <v>43039</v>
      </c>
      <c r="B257" s="27">
        <v>4.6899999999999997E-3</v>
      </c>
      <c r="C257" s="22">
        <f>IF(EOMONTH($F$2,-60)&lt;A257,SUM(B258:B310),0)</f>
        <v>0.16256599999999993</v>
      </c>
      <c r="D257" s="22">
        <f>SUM($B257:$B$1038)</f>
        <v>0.17948499999999998</v>
      </c>
      <c r="F257" s="29"/>
    </row>
    <row r="258" spans="1:6">
      <c r="A258" s="23">
        <v>43069</v>
      </c>
      <c r="B258" s="27">
        <v>4.2729999999999999E-3</v>
      </c>
      <c r="C258" s="22">
        <f>IF(EOMONTH($F$2,-60)&lt;A258,SUM(B259:B310),0)</f>
        <v>0.15829299999999993</v>
      </c>
      <c r="D258" s="22">
        <f>SUM($B258:$B$1038)</f>
        <v>0.17479499999999995</v>
      </c>
      <c r="F258" s="29"/>
    </row>
    <row r="259" spans="1:6">
      <c r="A259" s="23">
        <v>43100</v>
      </c>
      <c r="B259" s="27">
        <v>4.2729999999999999E-3</v>
      </c>
      <c r="C259" s="22">
        <f>IF(EOMONTH($F$2,-60)&lt;A259,SUM(B260:B310),0)</f>
        <v>0.15401999999999996</v>
      </c>
      <c r="D259" s="22">
        <f>SUM($B259:$B$1038)</f>
        <v>0.17052199999999995</v>
      </c>
      <c r="F259" s="29"/>
    </row>
    <row r="260" spans="1:6">
      <c r="A260" s="23">
        <v>43131</v>
      </c>
      <c r="B260" s="27">
        <v>3.9940000000000002E-3</v>
      </c>
      <c r="C260" s="22">
        <f t="shared" ref="C260:C291" si="5">IF(EOMONTH($F$2,-60)&lt;A260,SUM(B261:B310),0)</f>
        <v>0.15002599999999996</v>
      </c>
      <c r="D260" s="22">
        <f>SUM($B260:$B$1038)</f>
        <v>0.16624899999999998</v>
      </c>
      <c r="F260" s="29"/>
    </row>
    <row r="261" spans="1:6">
      <c r="A261" s="23">
        <v>43159</v>
      </c>
      <c r="B261" s="27">
        <v>3.9940000000000002E-3</v>
      </c>
      <c r="C261" s="22">
        <f t="shared" si="5"/>
        <v>0.15158999999999997</v>
      </c>
      <c r="D261" s="22">
        <f>SUM($B261:$B$1038)</f>
        <v>0.16225499999999998</v>
      </c>
      <c r="F261" s="29"/>
    </row>
    <row r="262" spans="1:6">
      <c r="A262" s="23">
        <v>43190</v>
      </c>
      <c r="B262" s="27">
        <v>3.8549999999999999E-3</v>
      </c>
      <c r="C262" s="22">
        <f t="shared" si="5"/>
        <v>0.15440599999999999</v>
      </c>
      <c r="D262" s="22">
        <f>SUM($B262:$B$1038)</f>
        <v>0.15826099999999999</v>
      </c>
      <c r="F262" s="29"/>
    </row>
    <row r="263" spans="1:6">
      <c r="A263" s="23">
        <v>43220</v>
      </c>
      <c r="B263" s="27">
        <v>3.715E-3</v>
      </c>
      <c r="C263" s="22">
        <f t="shared" si="5"/>
        <v>0.15069099999999999</v>
      </c>
      <c r="D263" s="22">
        <f>SUM($B263:$B$1038)</f>
        <v>0.15440599999999999</v>
      </c>
      <c r="F263" s="29"/>
    </row>
    <row r="264" spans="1:6">
      <c r="A264" s="23">
        <v>43251</v>
      </c>
      <c r="B264" s="27">
        <v>3.715E-3</v>
      </c>
      <c r="C264" s="22">
        <f t="shared" si="5"/>
        <v>0.14697599999999997</v>
      </c>
      <c r="D264" s="22">
        <f>SUM($B264:$B$1038)</f>
        <v>0.15069099999999999</v>
      </c>
      <c r="F264" s="29"/>
    </row>
    <row r="265" spans="1:6">
      <c r="A265" s="23">
        <v>43281</v>
      </c>
      <c r="B265" s="27">
        <v>3.715E-3</v>
      </c>
      <c r="C265" s="22">
        <f t="shared" si="5"/>
        <v>0.14326099999999997</v>
      </c>
      <c r="D265" s="22">
        <f>SUM($B265:$B$1038)</f>
        <v>0.14697599999999997</v>
      </c>
      <c r="F265" s="29"/>
    </row>
    <row r="266" spans="1:6">
      <c r="A266" s="23">
        <v>43312</v>
      </c>
      <c r="B266" s="27">
        <v>3.715E-3</v>
      </c>
      <c r="C266" s="22">
        <f t="shared" si="5"/>
        <v>0.13954599999999998</v>
      </c>
      <c r="D266" s="22">
        <f>SUM($B266:$B$1038)</f>
        <v>0.14326099999999997</v>
      </c>
      <c r="F266" s="29"/>
    </row>
    <row r="267" spans="1:6">
      <c r="A267" s="23">
        <v>43343</v>
      </c>
      <c r="B267" s="27">
        <v>3.715E-3</v>
      </c>
      <c r="C267" s="22">
        <f t="shared" si="5"/>
        <v>0.13583099999999995</v>
      </c>
      <c r="D267" s="22">
        <f>SUM($B267:$B$1038)</f>
        <v>0.13954599999999998</v>
      </c>
      <c r="F267" s="29"/>
    </row>
    <row r="268" spans="1:6">
      <c r="A268" s="23">
        <v>43373</v>
      </c>
      <c r="B268" s="27">
        <v>3.715E-3</v>
      </c>
      <c r="C268" s="22">
        <f t="shared" si="5"/>
        <v>0.13211599999999996</v>
      </c>
      <c r="D268" s="22">
        <f>SUM($B268:$B$1038)</f>
        <v>0.13583099999999995</v>
      </c>
      <c r="F268" s="29"/>
    </row>
    <row r="269" spans="1:6">
      <c r="A269" s="23">
        <v>43404</v>
      </c>
      <c r="B269" s="27">
        <v>3.715E-3</v>
      </c>
      <c r="C269" s="22">
        <f t="shared" si="5"/>
        <v>0.12840099999999993</v>
      </c>
      <c r="D269" s="22">
        <f>SUM($B269:$B$1038)</f>
        <v>0.13211599999999996</v>
      </c>
      <c r="F269" s="29"/>
    </row>
    <row r="270" spans="1:6">
      <c r="A270" s="23">
        <v>43434</v>
      </c>
      <c r="B270" s="27">
        <v>3.715E-3</v>
      </c>
      <c r="C270" s="22">
        <f t="shared" si="5"/>
        <v>0.12468599999999992</v>
      </c>
      <c r="D270" s="22">
        <f>SUM($B270:$B$1038)</f>
        <v>0.12840099999999993</v>
      </c>
      <c r="F270" s="29"/>
    </row>
    <row r="271" spans="1:6">
      <c r="A271" s="23">
        <v>43465</v>
      </c>
      <c r="B271" s="27">
        <v>3.715E-3</v>
      </c>
      <c r="C271" s="22">
        <f t="shared" si="5"/>
        <v>0.12097099999999995</v>
      </c>
      <c r="D271" s="22">
        <f>SUM($B271:$B$1038)</f>
        <v>0.12468599999999992</v>
      </c>
      <c r="F271" s="29"/>
    </row>
    <row r="272" spans="1:6">
      <c r="A272" s="23">
        <v>43496</v>
      </c>
      <c r="B272" s="27">
        <v>3.715E-3</v>
      </c>
      <c r="C272" s="22">
        <f t="shared" si="5"/>
        <v>0.11725599999999999</v>
      </c>
      <c r="D272" s="22">
        <f>SUM($B272:$B$1038)</f>
        <v>0.12097099999999995</v>
      </c>
      <c r="F272" s="29"/>
    </row>
    <row r="273" spans="1:8">
      <c r="A273" s="23">
        <v>43524</v>
      </c>
      <c r="B273" s="27">
        <v>3.715E-3</v>
      </c>
      <c r="C273" s="22">
        <f t="shared" si="5"/>
        <v>0.11354099999999999</v>
      </c>
      <c r="D273" s="22">
        <f>SUM($B273:$B$1038)</f>
        <v>0.11725599999999999</v>
      </c>
      <c r="F273" s="29"/>
    </row>
    <row r="274" spans="1:8">
      <c r="A274" s="23">
        <v>43555</v>
      </c>
      <c r="B274" s="27">
        <v>3.715E-3</v>
      </c>
      <c r="C274" s="22">
        <f t="shared" si="5"/>
        <v>0.10982599999999999</v>
      </c>
      <c r="D274" s="22">
        <f>SUM($B274:$B$1038)</f>
        <v>0.11354099999999999</v>
      </c>
      <c r="F274" s="29"/>
    </row>
    <row r="275" spans="1:8">
      <c r="A275" s="23">
        <v>43585</v>
      </c>
      <c r="B275" s="27">
        <v>3.715E-3</v>
      </c>
      <c r="C275" s="22">
        <f t="shared" si="5"/>
        <v>0.106111</v>
      </c>
      <c r="D275" s="22">
        <f>SUM($B275:$B$1038)</f>
        <v>0.10982599999999999</v>
      </c>
      <c r="F275" s="29"/>
    </row>
    <row r="276" spans="1:8">
      <c r="A276" s="23">
        <v>43616</v>
      </c>
      <c r="B276" s="27">
        <v>3.715E-3</v>
      </c>
      <c r="C276" s="22">
        <f t="shared" si="5"/>
        <v>0.10239599999999999</v>
      </c>
      <c r="D276" s="22">
        <f>SUM($B276:$B$1038)</f>
        <v>0.106111</v>
      </c>
      <c r="F276" s="29"/>
    </row>
    <row r="277" spans="1:8">
      <c r="A277" s="23">
        <v>43646</v>
      </c>
      <c r="B277" s="27">
        <v>3.715E-3</v>
      </c>
      <c r="C277" s="22">
        <f t="shared" si="5"/>
        <v>9.8681000000000005E-2</v>
      </c>
      <c r="D277" s="22">
        <f>SUM($B277:$B$1038)</f>
        <v>0.10239599999999999</v>
      </c>
      <c r="F277" s="29"/>
    </row>
    <row r="278" spans="1:8">
      <c r="A278" s="23">
        <v>43677</v>
      </c>
      <c r="B278" s="27">
        <v>3.715E-3</v>
      </c>
      <c r="C278" s="22">
        <f t="shared" si="5"/>
        <v>9.4965999999999995E-2</v>
      </c>
      <c r="D278" s="22">
        <f>SUM($B278:$B$1038)</f>
        <v>9.8681000000000005E-2</v>
      </c>
      <c r="F278" s="29"/>
    </row>
    <row r="279" spans="1:8">
      <c r="A279" s="23">
        <v>43708</v>
      </c>
      <c r="B279" s="27">
        <v>3.434E-3</v>
      </c>
      <c r="C279" s="22">
        <f t="shared" si="5"/>
        <v>9.1532000000000002E-2</v>
      </c>
      <c r="D279" s="22">
        <f>SUM($B279:$B$1038)</f>
        <v>9.4965999999999995E-2</v>
      </c>
      <c r="F279" s="29"/>
    </row>
    <row r="280" spans="1:8">
      <c r="A280" s="23">
        <v>43738</v>
      </c>
      <c r="B280" s="27">
        <v>3.434E-3</v>
      </c>
      <c r="C280" s="22">
        <f t="shared" si="5"/>
        <v>8.8097999999999996E-2</v>
      </c>
      <c r="D280" s="22">
        <f>SUM($B280:$B$1038)</f>
        <v>9.1532000000000002E-2</v>
      </c>
      <c r="F280" s="29"/>
    </row>
    <row r="281" spans="1:8">
      <c r="A281" s="23">
        <v>43769</v>
      </c>
      <c r="B281" s="27">
        <v>3.1530000000000004E-3</v>
      </c>
      <c r="C281" s="22">
        <f t="shared" si="5"/>
        <v>8.4944999999999993E-2</v>
      </c>
      <c r="D281" s="22">
        <f>SUM($B281:$B$1038)</f>
        <v>8.8097999999999996E-2</v>
      </c>
      <c r="F281" s="29"/>
    </row>
    <row r="282" spans="1:8">
      <c r="A282" s="23">
        <v>43799</v>
      </c>
      <c r="B282" s="27">
        <v>2.8710000000000003E-3</v>
      </c>
      <c r="C282" s="22">
        <f t="shared" si="5"/>
        <v>8.2073999999999994E-2</v>
      </c>
      <c r="D282" s="22">
        <f>SUM($B282:$B$1038)</f>
        <v>8.4944999999999993E-2</v>
      </c>
      <c r="F282" s="29"/>
    </row>
    <row r="283" spans="1:8">
      <c r="A283" s="23">
        <v>43830</v>
      </c>
      <c r="B283" s="27">
        <v>2.8710000000000003E-3</v>
      </c>
      <c r="C283" s="22">
        <f t="shared" si="5"/>
        <v>7.9202999999999996E-2</v>
      </c>
      <c r="D283" s="22">
        <f>SUM($B283:$B$1038)</f>
        <v>8.2073999999999994E-2</v>
      </c>
      <c r="F283" s="29"/>
    </row>
    <row r="284" spans="1:8">
      <c r="A284" s="23">
        <v>43861</v>
      </c>
      <c r="B284" s="27">
        <v>2.5879999999999996E-3</v>
      </c>
      <c r="C284" s="22">
        <f t="shared" si="5"/>
        <v>7.6615000000000003E-2</v>
      </c>
      <c r="D284" s="22">
        <f>SUM($B284:$B$1038)</f>
        <v>7.9202999999999996E-2</v>
      </c>
      <c r="F284" s="29"/>
    </row>
    <row r="285" spans="1:8">
      <c r="A285" s="23">
        <v>43890</v>
      </c>
      <c r="B285" s="27">
        <v>2.5879999999999996E-3</v>
      </c>
      <c r="C285" s="22">
        <f t="shared" si="5"/>
        <v>7.4026999999999996E-2</v>
      </c>
      <c r="D285" s="22">
        <f>SUM($B285:$B$1038)</f>
        <v>7.6615000000000003E-2</v>
      </c>
      <c r="F285" s="29"/>
    </row>
    <row r="286" spans="1:8">
      <c r="A286" s="23">
        <v>43921</v>
      </c>
      <c r="B286" s="27">
        <v>2.4460000000000003E-3</v>
      </c>
      <c r="C286" s="22">
        <f t="shared" si="5"/>
        <v>7.1580999999999992E-2</v>
      </c>
      <c r="D286" s="22">
        <f>SUM($B286:$B$1038)</f>
        <v>7.4026999999999996E-2</v>
      </c>
      <c r="F286" s="29"/>
      <c r="H286">
        <v>1087628.3600000001</v>
      </c>
    </row>
    <row r="287" spans="1:8">
      <c r="A287" s="23">
        <v>43951</v>
      </c>
      <c r="B287" s="27">
        <v>2.1619999999999999E-3</v>
      </c>
      <c r="C287" s="22">
        <f t="shared" si="5"/>
        <v>6.9418999999999995E-2</v>
      </c>
      <c r="D287" s="22">
        <f>SUM($B287:$B$1038)</f>
        <v>7.1580999999999992E-2</v>
      </c>
      <c r="F287" s="29"/>
      <c r="G287" s="143">
        <f>SUM(B285:B291)</f>
        <v>1.3697000000000001E-2</v>
      </c>
      <c r="H287">
        <f>H286*G287</f>
        <v>14897.245646920002</v>
      </c>
    </row>
    <row r="288" spans="1:8">
      <c r="A288" s="23">
        <v>43982</v>
      </c>
      <c r="B288" s="27">
        <v>2.1619999999999999E-3</v>
      </c>
      <c r="C288" s="22">
        <f t="shared" si="5"/>
        <v>6.7257000000000011E-2</v>
      </c>
      <c r="D288" s="22">
        <f>SUM($B288:$B$1038)</f>
        <v>6.9418999999999995E-2</v>
      </c>
      <c r="F288" s="29"/>
    </row>
    <row r="289" spans="1:6">
      <c r="A289" s="23">
        <v>44012</v>
      </c>
      <c r="B289" s="27">
        <v>1.7330000000000002E-3</v>
      </c>
      <c r="C289" s="22">
        <f t="shared" si="5"/>
        <v>6.5524000000000013E-2</v>
      </c>
      <c r="D289" s="22">
        <f>SUM($B289:$B$1038)</f>
        <v>6.7257000000000011E-2</v>
      </c>
      <c r="F289" s="29"/>
    </row>
    <row r="290" spans="1:6">
      <c r="A290" s="23">
        <v>44043</v>
      </c>
      <c r="B290" s="27">
        <v>1.3029999999999999E-3</v>
      </c>
      <c r="C290" s="22">
        <f t="shared" si="5"/>
        <v>6.4221E-2</v>
      </c>
      <c r="D290" s="22">
        <f>SUM($B290:$B$1038)</f>
        <v>6.5524000000000013E-2</v>
      </c>
      <c r="F290" s="29"/>
    </row>
    <row r="291" spans="1:6">
      <c r="A291" s="23">
        <v>44074</v>
      </c>
      <c r="B291" s="27">
        <v>1.3029999999999999E-3</v>
      </c>
      <c r="C291" s="22">
        <f t="shared" si="5"/>
        <v>6.2918000000000002E-2</v>
      </c>
      <c r="D291" s="22">
        <f>SUM($B291:$B$1038)</f>
        <v>6.4221E-2</v>
      </c>
      <c r="F291" s="29"/>
    </row>
    <row r="292" spans="1:6">
      <c r="A292" s="23">
        <v>44104</v>
      </c>
      <c r="B292" s="27">
        <v>1.1590000000000001E-3</v>
      </c>
      <c r="C292" s="22">
        <f t="shared" ref="C292:C311" si="6">IF(EOMONTH($F$2,-60)&lt;A292,SUM(B293:B342),0)</f>
        <v>6.1759000000000008E-2</v>
      </c>
      <c r="D292" s="22">
        <f>SUM($B292:$B$1038)</f>
        <v>6.2918000000000002E-2</v>
      </c>
      <c r="F292" s="29"/>
    </row>
    <row r="293" spans="1:6">
      <c r="A293" s="23">
        <v>44135</v>
      </c>
      <c r="B293" s="27">
        <v>1.1590000000000001E-3</v>
      </c>
      <c r="C293" s="22">
        <f t="shared" si="6"/>
        <v>6.0600000000000001E-2</v>
      </c>
      <c r="D293" s="22">
        <f>SUM($B293:$B$1038)</f>
        <v>6.1759000000000008E-2</v>
      </c>
      <c r="F293" s="29"/>
    </row>
    <row r="294" spans="1:6">
      <c r="A294" s="23">
        <v>44165</v>
      </c>
      <c r="B294" s="27">
        <v>1.1590000000000001E-3</v>
      </c>
      <c r="C294" s="22">
        <f t="shared" si="6"/>
        <v>5.9440999999999994E-2</v>
      </c>
      <c r="D294" s="22">
        <f>SUM($B294:$B$1038)</f>
        <v>6.0600000000000001E-2</v>
      </c>
      <c r="F294" s="29"/>
    </row>
    <row r="295" spans="1:6">
      <c r="A295" s="23">
        <v>44196</v>
      </c>
      <c r="B295" s="27">
        <v>1.1590000000000001E-3</v>
      </c>
      <c r="C295" s="22">
        <f t="shared" si="6"/>
        <v>5.8282E-2</v>
      </c>
      <c r="D295" s="22">
        <f>SUM($B295:$B$1038)</f>
        <v>5.9440999999999994E-2</v>
      </c>
      <c r="F295" s="29"/>
    </row>
    <row r="296" spans="1:6">
      <c r="A296" s="23">
        <v>44227</v>
      </c>
      <c r="B296" s="27">
        <v>1.1590000000000001E-3</v>
      </c>
      <c r="C296" s="22">
        <f t="shared" si="6"/>
        <v>5.7122999999999993E-2</v>
      </c>
      <c r="D296" s="22">
        <f>SUM($B296:$B$1038)</f>
        <v>5.8282E-2</v>
      </c>
      <c r="F296" s="29"/>
    </row>
    <row r="297" spans="1:6">
      <c r="A297" s="23">
        <v>44255</v>
      </c>
      <c r="B297" s="27">
        <v>1.1590000000000001E-3</v>
      </c>
      <c r="C297" s="22">
        <f t="shared" si="6"/>
        <v>5.5964E-2</v>
      </c>
      <c r="D297" s="22">
        <f>SUM($B297:$B$1038)</f>
        <v>5.7122999999999993E-2</v>
      </c>
      <c r="F297" s="29"/>
    </row>
    <row r="298" spans="1:6">
      <c r="A298" s="23">
        <v>44286</v>
      </c>
      <c r="B298" s="27">
        <v>1.1590000000000001E-3</v>
      </c>
      <c r="C298" s="22">
        <f t="shared" si="6"/>
        <v>5.4805000000000006E-2</v>
      </c>
      <c r="D298" s="22">
        <f>SUM($B298:$B$1038)</f>
        <v>5.5964E-2</v>
      </c>
      <c r="F298" s="29"/>
    </row>
    <row r="299" spans="1:6">
      <c r="A299" s="23">
        <v>44316</v>
      </c>
      <c r="B299" s="27">
        <v>1.5900000000000001E-3</v>
      </c>
      <c r="C299" s="22">
        <f t="shared" si="6"/>
        <v>5.3214999999999998E-2</v>
      </c>
      <c r="D299" s="22">
        <f>SUM($B299:$B$1038)</f>
        <v>5.4805000000000006E-2</v>
      </c>
      <c r="F299" s="29"/>
    </row>
    <row r="300" spans="1:6">
      <c r="A300" s="23">
        <v>44347</v>
      </c>
      <c r="B300" s="27">
        <v>1.5900000000000001E-3</v>
      </c>
      <c r="C300" s="22">
        <f t="shared" si="6"/>
        <v>5.1625000000000004E-2</v>
      </c>
      <c r="D300" s="22">
        <f>SUM($B300:$B$1038)</f>
        <v>5.3214999999999998E-2</v>
      </c>
      <c r="F300" s="29"/>
    </row>
    <row r="301" spans="1:6">
      <c r="A301" s="23">
        <v>44377</v>
      </c>
      <c r="B301" s="27">
        <v>2.019E-3</v>
      </c>
      <c r="C301" s="22">
        <f t="shared" si="6"/>
        <v>4.9605999999999997E-2</v>
      </c>
      <c r="D301" s="22">
        <f>SUM($B301:$B$1038)</f>
        <v>5.1625000000000004E-2</v>
      </c>
      <c r="F301" s="29"/>
    </row>
    <row r="302" spans="1:6">
      <c r="A302" s="23">
        <v>44408</v>
      </c>
      <c r="B302" s="27">
        <v>2.4460000000000003E-3</v>
      </c>
      <c r="C302" s="22">
        <f t="shared" si="6"/>
        <v>4.7160000000000007E-2</v>
      </c>
      <c r="D302" s="22">
        <f>SUM($B302:$B$1038)</f>
        <v>4.9605999999999997E-2</v>
      </c>
      <c r="F302" s="29"/>
    </row>
    <row r="303" spans="1:6">
      <c r="A303" s="23">
        <v>44439</v>
      </c>
      <c r="B303" s="27">
        <v>2.4460000000000003E-3</v>
      </c>
      <c r="C303" s="22">
        <f t="shared" si="6"/>
        <v>4.4714000000000004E-2</v>
      </c>
      <c r="D303" s="22">
        <f>SUM($B303:$B$1038)</f>
        <v>4.7160000000000007E-2</v>
      </c>
      <c r="F303" s="29"/>
    </row>
    <row r="304" spans="1:6">
      <c r="A304" s="23">
        <v>44469</v>
      </c>
      <c r="B304" s="27">
        <v>3.0120000000000004E-3</v>
      </c>
      <c r="C304" s="22">
        <f t="shared" si="6"/>
        <v>4.1702000000000003E-2</v>
      </c>
      <c r="D304" s="22">
        <f>SUM($B304:$B$1038)</f>
        <v>4.4714000000000004E-2</v>
      </c>
      <c r="F304" s="29"/>
    </row>
    <row r="305" spans="1:6">
      <c r="A305" s="23">
        <v>44500</v>
      </c>
      <c r="B305" s="27">
        <v>3.5750000000000001E-3</v>
      </c>
      <c r="C305" s="22">
        <f t="shared" si="6"/>
        <v>3.8126999999999994E-2</v>
      </c>
      <c r="D305" s="22">
        <f>SUM($B305:$B$1038)</f>
        <v>4.1702000000000003E-2</v>
      </c>
      <c r="F305" s="29"/>
    </row>
    <row r="306" spans="1:6">
      <c r="A306" s="23">
        <v>44530</v>
      </c>
      <c r="B306" s="27">
        <v>4.4120000000000001E-3</v>
      </c>
      <c r="C306" s="22">
        <f t="shared" si="6"/>
        <v>3.3714999999999995E-2</v>
      </c>
      <c r="D306" s="22">
        <f>SUM($B306:$B$1038)</f>
        <v>3.8126999999999994E-2</v>
      </c>
      <c r="F306" s="29"/>
    </row>
    <row r="307" spans="1:6">
      <c r="A307" s="23">
        <v>44561</v>
      </c>
      <c r="B307" s="27">
        <v>4.9020000000000001E-3</v>
      </c>
      <c r="C307" s="22">
        <f t="shared" si="6"/>
        <v>2.8813000000000002E-2</v>
      </c>
      <c r="D307" s="22">
        <f>SUM($B307:$B$1038)</f>
        <v>3.3714999999999995E-2</v>
      </c>
      <c r="F307" s="29"/>
    </row>
    <row r="308" spans="1:6">
      <c r="A308" s="23">
        <v>44592</v>
      </c>
      <c r="B308" s="27">
        <v>5.6079999999999993E-3</v>
      </c>
      <c r="C308" s="22">
        <f t="shared" si="6"/>
        <v>2.3205E-2</v>
      </c>
      <c r="D308" s="22">
        <f>SUM($B308:$B$1038)</f>
        <v>2.8813000000000002E-2</v>
      </c>
      <c r="F308" s="29"/>
    </row>
    <row r="309" spans="1:6">
      <c r="A309" s="23">
        <v>44620</v>
      </c>
      <c r="B309" s="27">
        <v>5.0000000000000001E-3</v>
      </c>
      <c r="C309" s="22">
        <f t="shared" si="6"/>
        <v>1.8204999999999999E-2</v>
      </c>
      <c r="D309" s="22">
        <f>SUM($B309:$B$1038)</f>
        <v>2.3205E-2</v>
      </c>
      <c r="F309" s="29"/>
    </row>
    <row r="310" spans="1:6">
      <c r="A310" s="23">
        <v>44651</v>
      </c>
      <c r="B310" s="27">
        <v>5.9760000000000004E-3</v>
      </c>
      <c r="C310" s="22">
        <f t="shared" si="6"/>
        <v>1.2229E-2</v>
      </c>
      <c r="D310" s="22">
        <f>SUM($B310:$B$1038)</f>
        <v>1.8204999999999999E-2</v>
      </c>
      <c r="F310" s="29"/>
    </row>
    <row r="311" spans="1:6">
      <c r="A311" s="23">
        <v>44681</v>
      </c>
      <c r="B311" s="27">
        <v>5.5579999999999996E-3</v>
      </c>
      <c r="C311" s="22">
        <f t="shared" si="6"/>
        <v>6.6709999999999998E-3</v>
      </c>
      <c r="D311" s="22">
        <f>SUM($B311:$B$1038)</f>
        <v>1.2229E-2</v>
      </c>
      <c r="F311" s="29"/>
    </row>
    <row r="312" spans="1:6">
      <c r="A312" s="23">
        <v>44712</v>
      </c>
      <c r="B312" s="27">
        <v>6.6709999999999998E-3</v>
      </c>
      <c r="C312" s="22">
        <f>IF(EOMONTH($F$2,-60)&lt;A312,SUM(B313:B362),0)</f>
        <v>0</v>
      </c>
      <c r="D312" s="22">
        <f>SUM($B312:$B$1038)</f>
        <v>6.6709999999999998E-3</v>
      </c>
      <c r="F312" s="29"/>
    </row>
  </sheetData>
  <conditionalFormatting sqref="A8:D1038">
    <cfRule type="expression" dxfId="3" priority="1">
      <formula>ISEVEN(YEAR($A8))=TRUE</formula>
    </cfRule>
    <cfRule type="expression" dxfId="2" priority="2">
      <formula>ISODD(YEAR($A8))=TRUE</formula>
    </cfRule>
  </conditionalFormatting>
  <hyperlinks>
    <hyperlink ref="A5" r:id="rId1" xr:uid="{96508D75-AFD3-449E-BFA6-F60DD408BA63}"/>
  </hyperlinks>
  <pageMargins left="0.511811024" right="0.511811024" top="0.78740157499999996" bottom="0.78740157499999996" header="0.31496062000000002" footer="0.31496062000000002"/>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A1E5-E084-4351-B81E-6EFDB78F6DD6}">
  <dimension ref="A1:Q311"/>
  <sheetViews>
    <sheetView showGridLines="0" topLeftCell="A287" workbookViewId="0"/>
  </sheetViews>
  <sheetFormatPr defaultRowHeight="14.5"/>
  <cols>
    <col min="1" max="1" width="12.54296875" customWidth="1"/>
    <col min="2" max="2" width="11.81640625" bestFit="1" customWidth="1"/>
    <col min="3" max="3" width="18" style="15" bestFit="1" customWidth="1"/>
    <col min="4" max="4" width="15.453125" bestFit="1" customWidth="1"/>
    <col min="5" max="5" width="30" customWidth="1"/>
  </cols>
  <sheetData>
    <row r="1" spans="1:6" ht="20">
      <c r="A1" s="2"/>
      <c r="F1" s="16" t="s">
        <v>83</v>
      </c>
    </row>
    <row r="2" spans="1:6" ht="15">
      <c r="A2" s="3" t="s">
        <v>110</v>
      </c>
      <c r="F2" s="5">
        <v>44681</v>
      </c>
    </row>
    <row r="3" spans="1:6" ht="6" customHeight="1"/>
    <row r="4" spans="1:6">
      <c r="A4" s="25" t="s">
        <v>111</v>
      </c>
      <c r="F4" s="5"/>
    </row>
    <row r="5" spans="1:6">
      <c r="A5" s="25" t="s">
        <v>112</v>
      </c>
      <c r="F5" s="5"/>
    </row>
    <row r="6" spans="1:6" ht="6" customHeight="1" thickBot="1"/>
    <row r="7" spans="1:6" ht="15.5" thickTop="1" thickBot="1">
      <c r="A7" s="17" t="s">
        <v>106</v>
      </c>
      <c r="B7" s="18" t="s">
        <v>107</v>
      </c>
      <c r="C7" s="19" t="s">
        <v>108</v>
      </c>
      <c r="D7" s="19" t="s">
        <v>109</v>
      </c>
    </row>
    <row r="8" spans="1:6" ht="15" thickTop="1">
      <c r="A8" s="20">
        <v>35431</v>
      </c>
      <c r="B8" s="21">
        <v>1.7299999999999999E-2</v>
      </c>
      <c r="C8" s="22"/>
      <c r="D8" s="22"/>
    </row>
    <row r="9" spans="1:6">
      <c r="A9" s="23">
        <v>35462</v>
      </c>
      <c r="B9" s="21">
        <v>1.67E-2</v>
      </c>
      <c r="C9" s="22"/>
      <c r="D9" s="22"/>
    </row>
    <row r="10" spans="1:6">
      <c r="A10" s="23">
        <v>35490</v>
      </c>
      <c r="B10" s="21">
        <v>1.6400000000000001E-2</v>
      </c>
      <c r="C10" s="22"/>
      <c r="D10" s="22"/>
    </row>
    <row r="11" spans="1:6">
      <c r="A11" s="23">
        <v>35521</v>
      </c>
      <c r="B11" s="21">
        <v>1.66E-2</v>
      </c>
      <c r="C11" s="22"/>
      <c r="D11" s="22"/>
    </row>
    <row r="12" spans="1:6">
      <c r="A12" s="23">
        <v>35551</v>
      </c>
      <c r="B12" s="21">
        <v>1.5800000000000002E-2</v>
      </c>
      <c r="C12" s="22"/>
      <c r="D12" s="22"/>
    </row>
    <row r="13" spans="1:6">
      <c r="A13" s="23">
        <v>35582</v>
      </c>
      <c r="B13" s="21">
        <v>1.61E-2</v>
      </c>
      <c r="C13" s="22"/>
      <c r="D13" s="22"/>
    </row>
    <row r="14" spans="1:6">
      <c r="A14" s="23">
        <v>35612</v>
      </c>
      <c r="B14" s="21">
        <v>1.6E-2</v>
      </c>
      <c r="C14" s="22"/>
      <c r="D14" s="22"/>
    </row>
    <row r="15" spans="1:6">
      <c r="A15" s="23">
        <v>35643</v>
      </c>
      <c r="B15" s="21">
        <v>1.5900000000000001E-2</v>
      </c>
      <c r="C15" s="22"/>
      <c r="D15" s="22"/>
    </row>
    <row r="16" spans="1:6">
      <c r="A16" s="23">
        <v>35674</v>
      </c>
      <c r="B16" s="21">
        <v>1.5900000000000001E-2</v>
      </c>
      <c r="C16" s="22"/>
      <c r="D16" s="22"/>
    </row>
    <row r="17" spans="1:4">
      <c r="A17" s="23">
        <v>35704</v>
      </c>
      <c r="B17" s="21">
        <v>1.67E-2</v>
      </c>
      <c r="C17" s="22"/>
      <c r="D17" s="22"/>
    </row>
    <row r="18" spans="1:4">
      <c r="A18" s="23">
        <v>35735</v>
      </c>
      <c r="B18" s="21">
        <v>3.04E-2</v>
      </c>
      <c r="C18" s="22"/>
      <c r="D18" s="22"/>
    </row>
    <row r="19" spans="1:4">
      <c r="A19" s="23">
        <v>35765</v>
      </c>
      <c r="B19" s="21">
        <v>2.9700000000000001E-2</v>
      </c>
      <c r="C19" s="22"/>
      <c r="D19" s="22"/>
    </row>
    <row r="20" spans="1:4">
      <c r="A20" s="20">
        <v>35796</v>
      </c>
      <c r="B20" s="21">
        <v>2.6700000000000002E-2</v>
      </c>
      <c r="C20" s="22"/>
      <c r="D20" s="22"/>
    </row>
    <row r="21" spans="1:4">
      <c r="A21" s="23">
        <v>35827</v>
      </c>
      <c r="B21" s="21">
        <v>2.1299999999999999E-2</v>
      </c>
      <c r="C21" s="22"/>
      <c r="D21" s="22"/>
    </row>
    <row r="22" spans="1:4">
      <c r="A22" s="23">
        <v>35855</v>
      </c>
      <c r="B22" s="21">
        <v>2.1999999999999999E-2</v>
      </c>
      <c r="C22" s="22"/>
      <c r="D22" s="22"/>
    </row>
    <row r="23" spans="1:4">
      <c r="A23" s="23">
        <v>35886</v>
      </c>
      <c r="B23" s="21">
        <v>1.7100000000000001E-2</v>
      </c>
      <c r="C23" s="22"/>
      <c r="D23" s="22"/>
    </row>
    <row r="24" spans="1:4">
      <c r="A24" s="23">
        <v>35916</v>
      </c>
      <c r="B24" s="21">
        <v>1.6299999999999999E-2</v>
      </c>
      <c r="C24" s="22"/>
      <c r="D24" s="22"/>
    </row>
    <row r="25" spans="1:4">
      <c r="A25" s="23">
        <v>35947</v>
      </c>
      <c r="B25" s="21">
        <v>1.6E-2</v>
      </c>
      <c r="C25" s="22"/>
      <c r="D25" s="22"/>
    </row>
    <row r="26" spans="1:4">
      <c r="A26" s="23">
        <v>35977</v>
      </c>
      <c r="B26" s="21">
        <v>1.7000000000000001E-2</v>
      </c>
      <c r="C26" s="22"/>
      <c r="D26" s="22"/>
    </row>
    <row r="27" spans="1:4">
      <c r="A27" s="23">
        <v>36008</v>
      </c>
      <c r="B27" s="21">
        <v>1.4800000000000001E-2</v>
      </c>
      <c r="C27" s="22"/>
      <c r="D27" s="22"/>
    </row>
    <row r="28" spans="1:4">
      <c r="A28" s="23">
        <v>36039</v>
      </c>
      <c r="B28" s="21">
        <v>2.4899999999999999E-2</v>
      </c>
      <c r="C28" s="22"/>
      <c r="D28" s="22"/>
    </row>
    <row r="29" spans="1:4">
      <c r="A29" s="23">
        <v>36069</v>
      </c>
      <c r="B29" s="21">
        <v>2.9399999999999999E-2</v>
      </c>
      <c r="C29" s="22"/>
      <c r="D29" s="22"/>
    </row>
    <row r="30" spans="1:4">
      <c r="A30" s="23">
        <v>36100</v>
      </c>
      <c r="B30" s="21">
        <v>2.63E-2</v>
      </c>
      <c r="C30" s="22"/>
      <c r="D30" s="22"/>
    </row>
    <row r="31" spans="1:4">
      <c r="A31" s="23">
        <v>36130</v>
      </c>
      <c r="B31" s="21">
        <v>2.4E-2</v>
      </c>
      <c r="C31" s="22"/>
      <c r="D31" s="22"/>
    </row>
    <row r="32" spans="1:4">
      <c r="A32" s="20">
        <v>36161</v>
      </c>
      <c r="B32" s="21">
        <v>2.18E-2</v>
      </c>
      <c r="C32" s="22"/>
      <c r="D32" s="22"/>
    </row>
    <row r="33" spans="1:17">
      <c r="A33" s="23">
        <v>36192</v>
      </c>
      <c r="B33" s="21">
        <v>2.3800000000000002E-2</v>
      </c>
      <c r="C33" s="22"/>
      <c r="D33" s="22"/>
    </row>
    <row r="34" spans="1:17">
      <c r="A34" s="23">
        <v>36220</v>
      </c>
      <c r="B34" s="21">
        <v>3.3300000000000003E-2</v>
      </c>
      <c r="C34" s="22"/>
      <c r="D34" s="22"/>
    </row>
    <row r="35" spans="1:17">
      <c r="A35" s="23">
        <v>36251</v>
      </c>
      <c r="B35" s="21">
        <v>2.35E-2</v>
      </c>
      <c r="C35" s="22"/>
      <c r="D35" s="22"/>
    </row>
    <row r="36" spans="1:17">
      <c r="A36" s="23">
        <v>36281</v>
      </c>
      <c r="B36" s="21">
        <v>2.0199999999999999E-2</v>
      </c>
      <c r="C36" s="22"/>
      <c r="D36" s="22"/>
    </row>
    <row r="37" spans="1:17">
      <c r="A37" s="23">
        <v>36312</v>
      </c>
      <c r="B37" s="21">
        <v>1.67E-2</v>
      </c>
      <c r="C37" s="22"/>
      <c r="D37" s="22"/>
    </row>
    <row r="38" spans="1:17">
      <c r="A38" s="23">
        <v>36342</v>
      </c>
      <c r="B38" s="21">
        <v>1.66E-2</v>
      </c>
      <c r="C38" s="22"/>
      <c r="D38" s="22"/>
    </row>
    <row r="39" spans="1:17">
      <c r="A39" s="23">
        <v>36373</v>
      </c>
      <c r="B39" s="21">
        <v>1.5699999999999999E-2</v>
      </c>
      <c r="C39" s="22"/>
      <c r="D39" s="22"/>
    </row>
    <row r="40" spans="1:17">
      <c r="A40" s="23">
        <v>36404</v>
      </c>
      <c r="B40" s="21">
        <v>1.49E-2</v>
      </c>
      <c r="C40" s="22"/>
      <c r="D40" s="22"/>
    </row>
    <row r="41" spans="1:17">
      <c r="A41" s="23">
        <v>36434</v>
      </c>
      <c r="B41" s="21">
        <v>1.38E-2</v>
      </c>
      <c r="C41" s="22"/>
      <c r="D41" s="22"/>
    </row>
    <row r="42" spans="1:17">
      <c r="A42" s="23">
        <v>36465</v>
      </c>
      <c r="B42" s="21">
        <v>1.3899999999999999E-2</v>
      </c>
      <c r="C42" s="22"/>
      <c r="D42" s="22"/>
    </row>
    <row r="43" spans="1:17">
      <c r="A43" s="23">
        <v>36495</v>
      </c>
      <c r="B43" s="21">
        <v>1.6E-2</v>
      </c>
      <c r="C43" s="22"/>
      <c r="D43" s="22"/>
    </row>
    <row r="44" spans="1:17" ht="31.5" thickBot="1">
      <c r="A44" s="20">
        <v>36526</v>
      </c>
      <c r="B44" s="21">
        <v>1.46E-2</v>
      </c>
      <c r="C44" s="22">
        <f t="shared" ref="C44:C75" si="0">IF(EOMONTH($F$2,-60)&lt;A44,SUM(B45:B103),0)</f>
        <v>0</v>
      </c>
      <c r="D44" s="22">
        <f>SUM($B44:$B$1038)</f>
        <v>2.5501</v>
      </c>
      <c r="H44" s="172" t="s">
        <v>144</v>
      </c>
      <c r="I44" s="173">
        <v>1995</v>
      </c>
      <c r="J44" s="173">
        <v>1996</v>
      </c>
      <c r="K44" s="173">
        <v>1997</v>
      </c>
      <c r="L44" s="173">
        <v>1998</v>
      </c>
      <c r="M44" s="173">
        <v>1999</v>
      </c>
      <c r="N44" s="173">
        <v>2000</v>
      </c>
      <c r="O44" s="173">
        <v>2001</v>
      </c>
      <c r="P44" s="173">
        <v>2002</v>
      </c>
      <c r="Q44" s="173">
        <v>2003</v>
      </c>
    </row>
    <row r="45" spans="1:17" ht="31.5" thickBot="1">
      <c r="A45" s="23">
        <v>36557</v>
      </c>
      <c r="B45" s="21">
        <v>1.4500000000000001E-2</v>
      </c>
      <c r="C45" s="22">
        <f t="shared" si="0"/>
        <v>0</v>
      </c>
      <c r="D45" s="22">
        <f>SUM($B45:$B$1038)</f>
        <v>2.5354999999999999</v>
      </c>
      <c r="H45" s="172" t="s">
        <v>145</v>
      </c>
      <c r="I45" s="174">
        <v>0</v>
      </c>
      <c r="J45" s="174">
        <v>2.58E-2</v>
      </c>
      <c r="K45" s="174">
        <v>1.7299999999999999E-2</v>
      </c>
      <c r="L45" s="174">
        <v>2.6700000000000002E-2</v>
      </c>
      <c r="M45" s="174">
        <v>2.18E-2</v>
      </c>
      <c r="N45" s="174">
        <v>1.46E-2</v>
      </c>
      <c r="O45" s="174">
        <v>1.2699999999999999E-2</v>
      </c>
      <c r="P45" s="174">
        <v>1.5299999999999999E-2</v>
      </c>
      <c r="Q45" s="174">
        <v>1.9699999999999999E-2</v>
      </c>
    </row>
    <row r="46" spans="1:17" ht="31.5" thickBot="1">
      <c r="A46" s="23">
        <v>36586</v>
      </c>
      <c r="B46" s="21">
        <v>1.4500000000000001E-2</v>
      </c>
      <c r="C46" s="22">
        <f t="shared" si="0"/>
        <v>0</v>
      </c>
      <c r="D46" s="22">
        <f>SUM($B46:$B$1038)</f>
        <v>2.5209999999999999</v>
      </c>
      <c r="H46" s="172" t="s">
        <v>146</v>
      </c>
      <c r="I46" s="174">
        <v>3.6299999999999999E-2</v>
      </c>
      <c r="J46" s="174">
        <v>2.35E-2</v>
      </c>
      <c r="K46" s="174">
        <v>1.67E-2</v>
      </c>
      <c r="L46" s="174">
        <v>2.1299999999999999E-2</v>
      </c>
      <c r="M46" s="174">
        <v>2.3800000000000002E-2</v>
      </c>
      <c r="N46" s="174">
        <v>1.4500000000000001E-2</v>
      </c>
      <c r="O46" s="174">
        <v>1.0200000000000001E-2</v>
      </c>
      <c r="P46" s="174">
        <v>1.2500000000000001E-2</v>
      </c>
      <c r="Q46" s="174">
        <v>1.83E-2</v>
      </c>
    </row>
    <row r="47" spans="1:17" ht="16" thickBot="1">
      <c r="A47" s="23">
        <v>36617</v>
      </c>
      <c r="B47" s="21">
        <v>1.2999999999999999E-2</v>
      </c>
      <c r="C47" s="22">
        <f t="shared" si="0"/>
        <v>0</v>
      </c>
      <c r="D47" s="22">
        <f>SUM($B47:$B$1038)</f>
        <v>2.5065</v>
      </c>
      <c r="H47" s="172" t="s">
        <v>147</v>
      </c>
      <c r="I47" s="174">
        <v>2.5999999999999999E-2</v>
      </c>
      <c r="J47" s="174">
        <v>2.2200000000000001E-2</v>
      </c>
      <c r="K47" s="174">
        <v>1.6400000000000001E-2</v>
      </c>
      <c r="L47" s="174">
        <v>2.1999999999999999E-2</v>
      </c>
      <c r="M47" s="174">
        <v>3.3300000000000003E-2</v>
      </c>
      <c r="N47" s="174">
        <v>1.4500000000000001E-2</v>
      </c>
      <c r="O47" s="174">
        <v>1.26E-2</v>
      </c>
      <c r="P47" s="174">
        <v>1.37E-2</v>
      </c>
      <c r="Q47" s="174">
        <v>1.78E-2</v>
      </c>
    </row>
    <row r="48" spans="1:17" ht="16" thickBot="1">
      <c r="A48" s="23">
        <v>36647</v>
      </c>
      <c r="B48" s="21">
        <v>1.49E-2</v>
      </c>
      <c r="C48" s="22">
        <f t="shared" si="0"/>
        <v>0</v>
      </c>
      <c r="D48" s="22">
        <f>SUM($B48:$B$1038)</f>
        <v>2.4935</v>
      </c>
      <c r="H48" s="172" t="s">
        <v>148</v>
      </c>
      <c r="I48" s="174">
        <v>4.2599999999999999E-2</v>
      </c>
      <c r="J48" s="174">
        <v>2.07E-2</v>
      </c>
      <c r="K48" s="174">
        <v>1.66E-2</v>
      </c>
      <c r="L48" s="174">
        <v>1.7100000000000001E-2</v>
      </c>
      <c r="M48" s="174">
        <v>2.35E-2</v>
      </c>
      <c r="N48" s="174">
        <v>1.2999999999999999E-2</v>
      </c>
      <c r="O48" s="174">
        <v>1.1900000000000001E-2</v>
      </c>
      <c r="P48" s="174">
        <v>1.4800000000000001E-2</v>
      </c>
      <c r="Q48" s="174">
        <v>1.8700000000000001E-2</v>
      </c>
    </row>
    <row r="49" spans="1:17" ht="16" thickBot="1">
      <c r="A49" s="23">
        <v>36678</v>
      </c>
      <c r="B49" s="21">
        <v>1.3899999999999999E-2</v>
      </c>
      <c r="C49" s="22">
        <f t="shared" si="0"/>
        <v>0</v>
      </c>
      <c r="D49" s="22">
        <f>SUM($B49:$B$1038)</f>
        <v>2.4786000000000006</v>
      </c>
      <c r="H49" s="172" t="s">
        <v>149</v>
      </c>
      <c r="I49" s="174">
        <v>4.2500000000000003E-2</v>
      </c>
      <c r="J49" s="174">
        <v>2.01E-2</v>
      </c>
      <c r="K49" s="174">
        <v>1.5800000000000002E-2</v>
      </c>
      <c r="L49" s="174">
        <v>1.6299999999999999E-2</v>
      </c>
      <c r="M49" s="174">
        <v>2.0199999999999999E-2</v>
      </c>
      <c r="N49" s="174">
        <v>1.49E-2</v>
      </c>
      <c r="O49" s="174">
        <v>1.34E-2</v>
      </c>
      <c r="P49" s="174">
        <v>1.41E-2</v>
      </c>
      <c r="Q49" s="174">
        <v>1.9699999999999999E-2</v>
      </c>
    </row>
    <row r="50" spans="1:17" ht="16" thickBot="1">
      <c r="A50" s="23">
        <v>36708</v>
      </c>
      <c r="B50" s="21">
        <v>1.3100000000000001E-2</v>
      </c>
      <c r="C50" s="22">
        <f t="shared" si="0"/>
        <v>0</v>
      </c>
      <c r="D50" s="22">
        <f>SUM($B50:$B$1038)</f>
        <v>2.4647000000000001</v>
      </c>
      <c r="H50" s="172" t="s">
        <v>150</v>
      </c>
      <c r="I50" s="174">
        <v>4.0399999999999998E-2</v>
      </c>
      <c r="J50" s="174">
        <v>1.9800000000000002E-2</v>
      </c>
      <c r="K50" s="174">
        <v>1.61E-2</v>
      </c>
      <c r="L50" s="174">
        <v>1.6E-2</v>
      </c>
      <c r="M50" s="174">
        <v>1.67E-2</v>
      </c>
      <c r="N50" s="174">
        <v>1.3899999999999999E-2</v>
      </c>
      <c r="O50" s="174">
        <v>1.2699999999999999E-2</v>
      </c>
      <c r="P50" s="174">
        <v>1.3299999999999999E-2</v>
      </c>
      <c r="Q50" s="174">
        <v>1.8599999999999998E-2</v>
      </c>
    </row>
    <row r="51" spans="1:17" ht="16" thickBot="1">
      <c r="A51" s="23">
        <v>36739</v>
      </c>
      <c r="B51" s="21">
        <v>1.41E-2</v>
      </c>
      <c r="C51" s="22">
        <f t="shared" si="0"/>
        <v>0</v>
      </c>
      <c r="D51" s="22">
        <f>SUM($B51:$B$1038)</f>
        <v>2.4516</v>
      </c>
      <c r="H51" s="172" t="s">
        <v>151</v>
      </c>
      <c r="I51" s="174">
        <v>4.02E-2</v>
      </c>
      <c r="J51" s="174">
        <v>1.9300000000000001E-2</v>
      </c>
      <c r="K51" s="174">
        <v>1.6E-2</v>
      </c>
      <c r="L51" s="174">
        <v>1.7000000000000001E-2</v>
      </c>
      <c r="M51" s="174">
        <v>1.66E-2</v>
      </c>
      <c r="N51" s="174">
        <v>1.3100000000000001E-2</v>
      </c>
      <c r="O51" s="174">
        <v>1.4999999999999999E-2</v>
      </c>
      <c r="P51" s="174">
        <v>1.54E-2</v>
      </c>
      <c r="Q51" s="174">
        <v>2.0799999999999999E-2</v>
      </c>
    </row>
    <row r="52" spans="1:17" ht="31.5" thickBot="1">
      <c r="A52" s="23">
        <v>36770</v>
      </c>
      <c r="B52" s="21">
        <v>1.2200000000000001E-2</v>
      </c>
      <c r="C52" s="22">
        <f t="shared" si="0"/>
        <v>0</v>
      </c>
      <c r="D52" s="22">
        <f>SUM($B52:$B$1038)</f>
        <v>2.4375</v>
      </c>
      <c r="H52" s="172" t="s">
        <v>152</v>
      </c>
      <c r="I52" s="174">
        <v>3.8399999999999997E-2</v>
      </c>
      <c r="J52" s="174">
        <v>1.9699999999999999E-2</v>
      </c>
      <c r="K52" s="174">
        <v>1.5900000000000001E-2</v>
      </c>
      <c r="L52" s="174">
        <v>1.4800000000000001E-2</v>
      </c>
      <c r="M52" s="174">
        <v>1.5699999999999999E-2</v>
      </c>
      <c r="N52" s="174">
        <v>1.41E-2</v>
      </c>
      <c r="O52" s="174">
        <v>1.6E-2</v>
      </c>
      <c r="P52" s="174">
        <v>1.44E-2</v>
      </c>
      <c r="Q52" s="174">
        <v>1.77E-2</v>
      </c>
    </row>
    <row r="53" spans="1:17" ht="31.5" thickBot="1">
      <c r="A53" s="23">
        <v>36800</v>
      </c>
      <c r="B53" s="21">
        <v>1.29E-2</v>
      </c>
      <c r="C53" s="22">
        <f t="shared" si="0"/>
        <v>0</v>
      </c>
      <c r="D53" s="22">
        <f>SUM($B53:$B$1038)</f>
        <v>2.4253</v>
      </c>
      <c r="H53" s="172" t="s">
        <v>153</v>
      </c>
      <c r="I53" s="174">
        <v>3.32E-2</v>
      </c>
      <c r="J53" s="174">
        <v>1.9E-2</v>
      </c>
      <c r="K53" s="174">
        <v>1.5900000000000001E-2</v>
      </c>
      <c r="L53" s="174">
        <v>2.4899999999999999E-2</v>
      </c>
      <c r="M53" s="174">
        <v>1.49E-2</v>
      </c>
      <c r="N53" s="174">
        <v>1.2200000000000001E-2</v>
      </c>
      <c r="O53" s="174">
        <v>1.32E-2</v>
      </c>
      <c r="P53" s="174">
        <v>1.38E-2</v>
      </c>
      <c r="Q53" s="174">
        <v>1.6799999999999999E-2</v>
      </c>
    </row>
    <row r="54" spans="1:17" ht="31.5" thickBot="1">
      <c r="A54" s="23">
        <v>36831</v>
      </c>
      <c r="B54" s="21">
        <v>1.2200000000000001E-2</v>
      </c>
      <c r="C54" s="22">
        <f t="shared" si="0"/>
        <v>0</v>
      </c>
      <c r="D54" s="22">
        <f>SUM($B54:$B$1038)</f>
        <v>2.4124000000000003</v>
      </c>
      <c r="H54" s="172" t="s">
        <v>154</v>
      </c>
      <c r="I54" s="174">
        <v>3.09E-2</v>
      </c>
      <c r="J54" s="174">
        <v>1.8599999999999998E-2</v>
      </c>
      <c r="K54" s="174">
        <v>1.67E-2</v>
      </c>
      <c r="L54" s="174">
        <v>2.9399999999999999E-2</v>
      </c>
      <c r="M54" s="174">
        <v>1.38E-2</v>
      </c>
      <c r="N54" s="174">
        <v>1.29E-2</v>
      </c>
      <c r="O54" s="174">
        <v>1.5299999999999999E-2</v>
      </c>
      <c r="P54" s="174">
        <v>1.6500000000000001E-2</v>
      </c>
      <c r="Q54" s="174">
        <v>1.6400000000000001E-2</v>
      </c>
    </row>
    <row r="55" spans="1:17" ht="31.5" thickBot="1">
      <c r="A55" s="23">
        <v>36861</v>
      </c>
      <c r="B55" s="21">
        <v>1.2E-2</v>
      </c>
      <c r="C55" s="22">
        <f t="shared" si="0"/>
        <v>0</v>
      </c>
      <c r="D55" s="22">
        <f>SUM($B55:$B$1038)</f>
        <v>2.4002000000000003</v>
      </c>
      <c r="H55" s="172" t="s">
        <v>155</v>
      </c>
      <c r="I55" s="174">
        <v>2.8799999999999999E-2</v>
      </c>
      <c r="J55" s="174">
        <v>1.7999999999999999E-2</v>
      </c>
      <c r="K55" s="174">
        <v>3.04E-2</v>
      </c>
      <c r="L55" s="174">
        <v>2.63E-2</v>
      </c>
      <c r="M55" s="174">
        <v>1.3899999999999999E-2</v>
      </c>
      <c r="N55" s="174">
        <v>1.2200000000000001E-2</v>
      </c>
      <c r="O55" s="174">
        <v>1.3899999999999999E-2</v>
      </c>
      <c r="P55" s="174">
        <v>1.54E-2</v>
      </c>
      <c r="Q55" s="174">
        <v>1.34E-2</v>
      </c>
    </row>
    <row r="56" spans="1:17" ht="31.5" thickBot="1">
      <c r="A56" s="20">
        <v>36892</v>
      </c>
      <c r="B56" s="21">
        <v>1.2699999999999999E-2</v>
      </c>
      <c r="C56" s="22">
        <f t="shared" si="0"/>
        <v>0</v>
      </c>
      <c r="D56" s="22">
        <f>SUM($B56:$B$1038)</f>
        <v>2.3882000000000003</v>
      </c>
      <c r="H56" s="172" t="s">
        <v>156</v>
      </c>
      <c r="I56" s="174">
        <v>2.7799999999999998E-2</v>
      </c>
      <c r="J56" s="174">
        <v>1.7999999999999999E-2</v>
      </c>
      <c r="K56" s="174">
        <v>2.9700000000000001E-2</v>
      </c>
      <c r="L56" s="174">
        <v>2.4E-2</v>
      </c>
      <c r="M56" s="174">
        <v>1.6E-2</v>
      </c>
      <c r="N56" s="174">
        <v>1.2E-2</v>
      </c>
      <c r="O56" s="174">
        <v>1.3899999999999999E-2</v>
      </c>
      <c r="P56" s="174">
        <v>1.7399999999999999E-2</v>
      </c>
      <c r="Q56" s="174">
        <v>1.37E-2</v>
      </c>
    </row>
    <row r="57" spans="1:17">
      <c r="A57" s="23">
        <v>36923</v>
      </c>
      <c r="B57" s="21">
        <v>1.0200000000000001E-2</v>
      </c>
      <c r="C57" s="22">
        <f t="shared" si="0"/>
        <v>0</v>
      </c>
      <c r="D57" s="22">
        <f>SUM($B57:$B$1038)</f>
        <v>2.3755000000000006</v>
      </c>
    </row>
    <row r="58" spans="1:17">
      <c r="A58" s="23">
        <v>36951</v>
      </c>
      <c r="B58" s="21">
        <v>1.26E-2</v>
      </c>
      <c r="C58" s="22">
        <f t="shared" si="0"/>
        <v>0</v>
      </c>
      <c r="D58" s="22">
        <f>SUM($B58:$B$1038)</f>
        <v>2.3653000000000008</v>
      </c>
    </row>
    <row r="59" spans="1:17">
      <c r="A59" s="23">
        <v>36982</v>
      </c>
      <c r="B59" s="21">
        <v>1.1900000000000001E-2</v>
      </c>
      <c r="C59" s="22">
        <f t="shared" si="0"/>
        <v>0</v>
      </c>
      <c r="D59" s="22">
        <f>SUM($B59:$B$1038)</f>
        <v>2.3527000000000013</v>
      </c>
    </row>
    <row r="60" spans="1:17">
      <c r="A60" s="23">
        <v>37012</v>
      </c>
      <c r="B60" s="21">
        <v>1.34E-2</v>
      </c>
      <c r="C60" s="22">
        <f t="shared" si="0"/>
        <v>0</v>
      </c>
      <c r="D60" s="22">
        <f>SUM($B60:$B$1038)</f>
        <v>2.3408000000000015</v>
      </c>
    </row>
    <row r="61" spans="1:17">
      <c r="A61" s="23">
        <v>37043</v>
      </c>
      <c r="B61" s="21">
        <v>1.2699999999999999E-2</v>
      </c>
      <c r="C61" s="22">
        <f t="shared" si="0"/>
        <v>0</v>
      </c>
      <c r="D61" s="22">
        <f>SUM($B61:$B$1038)</f>
        <v>2.3274000000000008</v>
      </c>
    </row>
    <row r="62" spans="1:17">
      <c r="A62" s="23">
        <v>37073</v>
      </c>
      <c r="B62" s="21">
        <v>1.4999999999999999E-2</v>
      </c>
      <c r="C62" s="22">
        <f t="shared" si="0"/>
        <v>0</v>
      </c>
      <c r="D62" s="22">
        <f>SUM($B62:$B$1038)</f>
        <v>2.3147000000000006</v>
      </c>
    </row>
    <row r="63" spans="1:17">
      <c r="A63" s="23">
        <v>37104</v>
      </c>
      <c r="B63" s="21">
        <v>1.6E-2</v>
      </c>
      <c r="C63" s="22">
        <f t="shared" si="0"/>
        <v>0</v>
      </c>
      <c r="D63" s="22">
        <f>SUM($B63:$B$1038)</f>
        <v>2.2997000000000005</v>
      </c>
    </row>
    <row r="64" spans="1:17">
      <c r="A64" s="23">
        <v>37135</v>
      </c>
      <c r="B64" s="21">
        <v>1.32E-2</v>
      </c>
      <c r="C64" s="22">
        <f t="shared" si="0"/>
        <v>0</v>
      </c>
      <c r="D64" s="22">
        <f>SUM($B64:$B$1038)</f>
        <v>2.2837000000000005</v>
      </c>
    </row>
    <row r="65" spans="1:4">
      <c r="A65" s="23">
        <v>37165</v>
      </c>
      <c r="B65" s="21">
        <v>1.5299999999999999E-2</v>
      </c>
      <c r="C65" s="22">
        <f t="shared" si="0"/>
        <v>0</v>
      </c>
      <c r="D65" s="22">
        <f>SUM($B65:$B$1038)</f>
        <v>2.2705000000000006</v>
      </c>
    </row>
    <row r="66" spans="1:4">
      <c r="A66" s="23">
        <v>37196</v>
      </c>
      <c r="B66" s="21">
        <v>1.3899999999999999E-2</v>
      </c>
      <c r="C66" s="22">
        <f t="shared" si="0"/>
        <v>0</v>
      </c>
      <c r="D66" s="22">
        <f>SUM($B66:$B$1038)</f>
        <v>2.2551999999999999</v>
      </c>
    </row>
    <row r="67" spans="1:4">
      <c r="A67" s="23">
        <v>37226</v>
      </c>
      <c r="B67" s="21">
        <v>1.3899999999999999E-2</v>
      </c>
      <c r="C67" s="22">
        <f t="shared" si="0"/>
        <v>0</v>
      </c>
      <c r="D67" s="22">
        <f>SUM($B67:$B$1038)</f>
        <v>2.2412999999999998</v>
      </c>
    </row>
    <row r="68" spans="1:4">
      <c r="A68" s="20">
        <v>37257</v>
      </c>
      <c r="B68" s="21">
        <v>1.5299999999999999E-2</v>
      </c>
      <c r="C68" s="22">
        <f t="shared" si="0"/>
        <v>0</v>
      </c>
      <c r="D68" s="22">
        <f>SUM($B68:$B$1038)</f>
        <v>2.2273999999999998</v>
      </c>
    </row>
    <row r="69" spans="1:4">
      <c r="A69" s="23">
        <v>37288</v>
      </c>
      <c r="B69" s="21">
        <v>1.2500000000000001E-2</v>
      </c>
      <c r="C69" s="22">
        <f t="shared" si="0"/>
        <v>0</v>
      </c>
      <c r="D69" s="22">
        <f>SUM($B69:$B$1038)</f>
        <v>2.2121</v>
      </c>
    </row>
    <row r="70" spans="1:4">
      <c r="A70" s="23">
        <v>37316</v>
      </c>
      <c r="B70" s="21">
        <v>1.37E-2</v>
      </c>
      <c r="C70" s="22">
        <f t="shared" si="0"/>
        <v>0</v>
      </c>
      <c r="D70" s="22">
        <f>SUM($B70:$B$1038)</f>
        <v>2.1996000000000007</v>
      </c>
    </row>
    <row r="71" spans="1:4">
      <c r="A71" s="23">
        <v>37347</v>
      </c>
      <c r="B71" s="21">
        <v>1.4800000000000001E-2</v>
      </c>
      <c r="C71" s="22">
        <f t="shared" si="0"/>
        <v>0</v>
      </c>
      <c r="D71" s="22">
        <f>SUM($B71:$B$1038)</f>
        <v>2.1859000000000011</v>
      </c>
    </row>
    <row r="72" spans="1:4">
      <c r="A72" s="23">
        <v>37377</v>
      </c>
      <c r="B72" s="21">
        <v>1.41E-2</v>
      </c>
      <c r="C72" s="22">
        <f t="shared" si="0"/>
        <v>0</v>
      </c>
      <c r="D72" s="22">
        <f>SUM($B72:$B$1038)</f>
        <v>2.1711000000000014</v>
      </c>
    </row>
    <row r="73" spans="1:4">
      <c r="A73" s="23">
        <v>37408</v>
      </c>
      <c r="B73" s="21">
        <v>1.3299999999999999E-2</v>
      </c>
      <c r="C73" s="22">
        <f t="shared" si="0"/>
        <v>0</v>
      </c>
      <c r="D73" s="22">
        <f>SUM($B73:$B$1038)</f>
        <v>2.1570000000000009</v>
      </c>
    </row>
    <row r="74" spans="1:4">
      <c r="A74" s="23">
        <v>37438</v>
      </c>
      <c r="B74" s="21">
        <v>1.54E-2</v>
      </c>
      <c r="C74" s="22">
        <f t="shared" si="0"/>
        <v>0</v>
      </c>
      <c r="D74" s="22">
        <f>SUM($B74:$B$1038)</f>
        <v>2.1437000000000008</v>
      </c>
    </row>
    <row r="75" spans="1:4">
      <c r="A75" s="23">
        <v>37469</v>
      </c>
      <c r="B75" s="21">
        <v>1.44E-2</v>
      </c>
      <c r="C75" s="22">
        <f t="shared" si="0"/>
        <v>0</v>
      </c>
      <c r="D75" s="22">
        <f>SUM($B75:$B$1038)</f>
        <v>2.1283000000000007</v>
      </c>
    </row>
    <row r="76" spans="1:4">
      <c r="A76" s="23">
        <v>37500</v>
      </c>
      <c r="B76" s="21">
        <v>1.38E-2</v>
      </c>
      <c r="C76" s="22">
        <f t="shared" ref="C76:C107" si="1">IF(EOMONTH($F$2,-60)&lt;A76,SUM(B77:B135),0)</f>
        <v>0</v>
      </c>
      <c r="D76" s="22">
        <f>SUM($B76:$B$1038)</f>
        <v>2.113900000000001</v>
      </c>
    </row>
    <row r="77" spans="1:4">
      <c r="A77" s="23">
        <v>37530</v>
      </c>
      <c r="B77" s="21">
        <v>1.6500000000000001E-2</v>
      </c>
      <c r="C77" s="22">
        <f t="shared" si="1"/>
        <v>0</v>
      </c>
      <c r="D77" s="22">
        <f>SUM($B77:$B$1038)</f>
        <v>2.1001000000000007</v>
      </c>
    </row>
    <row r="78" spans="1:4">
      <c r="A78" s="23">
        <v>37561</v>
      </c>
      <c r="B78" s="21">
        <v>1.54E-2</v>
      </c>
      <c r="C78" s="22">
        <f t="shared" si="1"/>
        <v>0</v>
      </c>
      <c r="D78" s="22">
        <f>SUM($B78:$B$1038)</f>
        <v>2.0836000000000006</v>
      </c>
    </row>
    <row r="79" spans="1:4">
      <c r="A79" s="23">
        <v>37591</v>
      </c>
      <c r="B79" s="21">
        <v>1.7399999999999999E-2</v>
      </c>
      <c r="C79" s="22">
        <f t="shared" si="1"/>
        <v>0</v>
      </c>
      <c r="D79" s="22">
        <f>SUM($B79:$B$1038)</f>
        <v>2.0682000000000018</v>
      </c>
    </row>
    <row r="80" spans="1:4">
      <c r="A80" s="20">
        <v>37622</v>
      </c>
      <c r="B80" s="21">
        <v>1.9699999999999999E-2</v>
      </c>
      <c r="C80" s="22">
        <f t="shared" si="1"/>
        <v>0</v>
      </c>
      <c r="D80" s="22">
        <f>SUM($B80:$B$1038)</f>
        <v>2.050800000000002</v>
      </c>
    </row>
    <row r="81" spans="1:4">
      <c r="A81" s="23">
        <v>37653</v>
      </c>
      <c r="B81" s="21">
        <v>1.83E-2</v>
      </c>
      <c r="C81" s="22">
        <f t="shared" si="1"/>
        <v>0</v>
      </c>
      <c r="D81" s="22">
        <f>SUM($B81:$B$1038)</f>
        <v>2.0311000000000021</v>
      </c>
    </row>
    <row r="82" spans="1:4">
      <c r="A82" s="23">
        <v>37681</v>
      </c>
      <c r="B82" s="21">
        <v>1.78E-2</v>
      </c>
      <c r="C82" s="22">
        <f t="shared" si="1"/>
        <v>0</v>
      </c>
      <c r="D82" s="22">
        <f>SUM($B82:$B$1038)</f>
        <v>2.0128000000000021</v>
      </c>
    </row>
    <row r="83" spans="1:4">
      <c r="A83" s="23">
        <v>37712</v>
      </c>
      <c r="B83" s="21">
        <v>1.8700000000000001E-2</v>
      </c>
      <c r="C83" s="22">
        <f t="shared" si="1"/>
        <v>0</v>
      </c>
      <c r="D83" s="22">
        <f>SUM($B83:$B$1038)</f>
        <v>1.9950000000000021</v>
      </c>
    </row>
    <row r="84" spans="1:4">
      <c r="A84" s="23">
        <v>37742</v>
      </c>
      <c r="B84" s="21">
        <v>1.9699999999999999E-2</v>
      </c>
      <c r="C84" s="22">
        <f t="shared" si="1"/>
        <v>0</v>
      </c>
      <c r="D84" s="22">
        <f>SUM($B84:$B$1038)</f>
        <v>1.9763000000000024</v>
      </c>
    </row>
    <row r="85" spans="1:4">
      <c r="A85" s="23">
        <v>37773</v>
      </c>
      <c r="B85" s="21">
        <v>1.8599999999999998E-2</v>
      </c>
      <c r="C85" s="22">
        <f t="shared" si="1"/>
        <v>0</v>
      </c>
      <c r="D85" s="22">
        <f>SUM($B85:$B$1038)</f>
        <v>1.9566000000000023</v>
      </c>
    </row>
    <row r="86" spans="1:4">
      <c r="A86" s="23">
        <v>37803</v>
      </c>
      <c r="B86" s="21">
        <v>2.0799999999999999E-2</v>
      </c>
      <c r="C86" s="22">
        <f t="shared" si="1"/>
        <v>0</v>
      </c>
      <c r="D86" s="22">
        <f>SUM($B86:$B$1038)</f>
        <v>1.9380000000000024</v>
      </c>
    </row>
    <row r="87" spans="1:4">
      <c r="A87" s="23">
        <v>37834</v>
      </c>
      <c r="B87" s="21">
        <v>1.77E-2</v>
      </c>
      <c r="C87" s="22">
        <f t="shared" si="1"/>
        <v>0</v>
      </c>
      <c r="D87" s="22">
        <f>SUM($B87:$B$1038)</f>
        <v>1.9172000000000022</v>
      </c>
    </row>
    <row r="88" spans="1:4">
      <c r="A88" s="23">
        <v>37865</v>
      </c>
      <c r="B88" s="21">
        <v>1.6799999999999999E-2</v>
      </c>
      <c r="C88" s="22">
        <f t="shared" si="1"/>
        <v>0</v>
      </c>
      <c r="D88" s="22">
        <f>SUM($B88:$B$1038)</f>
        <v>1.899500000000002</v>
      </c>
    </row>
    <row r="89" spans="1:4">
      <c r="A89" s="23">
        <v>37895</v>
      </c>
      <c r="B89" s="21">
        <v>1.6400000000000001E-2</v>
      </c>
      <c r="C89" s="22">
        <f t="shared" si="1"/>
        <v>0</v>
      </c>
      <c r="D89" s="22">
        <f>SUM($B89:$B$1038)</f>
        <v>1.8827000000000023</v>
      </c>
    </row>
    <row r="90" spans="1:4">
      <c r="A90" s="23">
        <v>37926</v>
      </c>
      <c r="B90" s="21">
        <v>1.34E-2</v>
      </c>
      <c r="C90" s="22">
        <f t="shared" si="1"/>
        <v>0</v>
      </c>
      <c r="D90" s="22">
        <f>SUM($B90:$B$1038)</f>
        <v>1.8663000000000021</v>
      </c>
    </row>
    <row r="91" spans="1:4">
      <c r="A91" s="23">
        <v>37956</v>
      </c>
      <c r="B91" s="21">
        <v>1.37E-2</v>
      </c>
      <c r="C91" s="22">
        <f t="shared" si="1"/>
        <v>0</v>
      </c>
      <c r="D91" s="22">
        <f>SUM($B91:$B$1038)</f>
        <v>1.8529000000000022</v>
      </c>
    </row>
    <row r="92" spans="1:4">
      <c r="A92" s="20">
        <v>37987</v>
      </c>
      <c r="B92" s="21">
        <v>1.2699999999999999E-2</v>
      </c>
      <c r="C92" s="22">
        <f t="shared" si="1"/>
        <v>0</v>
      </c>
      <c r="D92" s="22">
        <f>SUM($B92:$B$1038)</f>
        <v>1.8392000000000022</v>
      </c>
    </row>
    <row r="93" spans="1:4">
      <c r="A93" s="23">
        <v>38018</v>
      </c>
      <c r="B93" s="21">
        <v>1.0800000000000001E-2</v>
      </c>
      <c r="C93" s="22">
        <f t="shared" si="1"/>
        <v>0</v>
      </c>
      <c r="D93" s="22">
        <f>SUM($B93:$B$1038)</f>
        <v>1.8265000000000022</v>
      </c>
    </row>
    <row r="94" spans="1:4">
      <c r="A94" s="23">
        <v>38047</v>
      </c>
      <c r="B94" s="21">
        <v>1.38E-2</v>
      </c>
      <c r="C94" s="22">
        <f t="shared" si="1"/>
        <v>0</v>
      </c>
      <c r="D94" s="22">
        <f>SUM($B94:$B$1038)</f>
        <v>1.8157000000000021</v>
      </c>
    </row>
    <row r="95" spans="1:4">
      <c r="A95" s="23">
        <v>38078</v>
      </c>
      <c r="B95" s="21">
        <v>1.18E-2</v>
      </c>
      <c r="C95" s="22">
        <f t="shared" si="1"/>
        <v>0</v>
      </c>
      <c r="D95" s="22">
        <f>SUM($B95:$B$1038)</f>
        <v>1.8019000000000018</v>
      </c>
    </row>
    <row r="96" spans="1:4">
      <c r="A96" s="23">
        <v>38108</v>
      </c>
      <c r="B96" s="21">
        <v>1.23E-2</v>
      </c>
      <c r="C96" s="22">
        <f t="shared" si="1"/>
        <v>0</v>
      </c>
      <c r="D96" s="22">
        <f>SUM($B96:$B$1038)</f>
        <v>1.7901000000000018</v>
      </c>
    </row>
    <row r="97" spans="1:4">
      <c r="A97" s="23">
        <v>38139</v>
      </c>
      <c r="B97" s="21">
        <v>1.23E-2</v>
      </c>
      <c r="C97" s="22">
        <f t="shared" si="1"/>
        <v>0</v>
      </c>
      <c r="D97" s="22">
        <f>SUM($B97:$B$1038)</f>
        <v>1.777800000000002</v>
      </c>
    </row>
    <row r="98" spans="1:4">
      <c r="A98" s="23">
        <v>38169</v>
      </c>
      <c r="B98" s="21">
        <v>1.29E-2</v>
      </c>
      <c r="C98" s="22">
        <f t="shared" si="1"/>
        <v>0</v>
      </c>
      <c r="D98" s="22">
        <f>SUM($B98:$B$1038)</f>
        <v>1.7655000000000021</v>
      </c>
    </row>
    <row r="99" spans="1:4">
      <c r="A99" s="23">
        <v>38200</v>
      </c>
      <c r="B99" s="21">
        <v>1.29E-2</v>
      </c>
      <c r="C99" s="22">
        <f t="shared" si="1"/>
        <v>0</v>
      </c>
      <c r="D99" s="22">
        <f>SUM($B99:$B$1038)</f>
        <v>1.7526000000000019</v>
      </c>
    </row>
    <row r="100" spans="1:4">
      <c r="A100" s="23">
        <v>38231</v>
      </c>
      <c r="B100" s="21">
        <v>1.2500000000000001E-2</v>
      </c>
      <c r="C100" s="22">
        <f t="shared" si="1"/>
        <v>0</v>
      </c>
      <c r="D100" s="22">
        <f>SUM($B100:$B$1038)</f>
        <v>1.739700000000002</v>
      </c>
    </row>
    <row r="101" spans="1:4">
      <c r="A101" s="23">
        <v>38261</v>
      </c>
      <c r="B101" s="21">
        <v>1.21E-2</v>
      </c>
      <c r="C101" s="22">
        <f t="shared" si="1"/>
        <v>0</v>
      </c>
      <c r="D101" s="22">
        <f>SUM($B101:$B$1038)</f>
        <v>1.7272000000000021</v>
      </c>
    </row>
    <row r="102" spans="1:4">
      <c r="A102" s="23">
        <v>38292</v>
      </c>
      <c r="B102" s="21">
        <v>1.2500000000000001E-2</v>
      </c>
      <c r="C102" s="22">
        <f t="shared" si="1"/>
        <v>0</v>
      </c>
      <c r="D102" s="22">
        <f>SUM($B102:$B$1038)</f>
        <v>1.7151000000000018</v>
      </c>
    </row>
    <row r="103" spans="1:4">
      <c r="A103" s="23">
        <v>38322</v>
      </c>
      <c r="B103" s="21">
        <v>1.4800000000000001E-2</v>
      </c>
      <c r="C103" s="22">
        <f t="shared" si="1"/>
        <v>0</v>
      </c>
      <c r="D103" s="22">
        <f>SUM($B103:$B$1038)</f>
        <v>1.7026000000000017</v>
      </c>
    </row>
    <row r="104" spans="1:4">
      <c r="A104" s="20">
        <v>38353</v>
      </c>
      <c r="B104" s="21">
        <v>1.38E-2</v>
      </c>
      <c r="C104" s="22">
        <f t="shared" si="1"/>
        <v>0</v>
      </c>
      <c r="D104" s="22">
        <f>SUM($B104:$B$1038)</f>
        <v>1.6878000000000013</v>
      </c>
    </row>
    <row r="105" spans="1:4">
      <c r="A105" s="23">
        <v>38384</v>
      </c>
      <c r="B105" s="21">
        <v>1.2200000000000001E-2</v>
      </c>
      <c r="C105" s="22">
        <f t="shared" si="1"/>
        <v>0</v>
      </c>
      <c r="D105" s="22">
        <f>SUM($B105:$B$1038)</f>
        <v>1.6740000000000015</v>
      </c>
    </row>
    <row r="106" spans="1:4">
      <c r="A106" s="23">
        <v>38412</v>
      </c>
      <c r="B106" s="21">
        <v>1.5299999999999999E-2</v>
      </c>
      <c r="C106" s="22">
        <f t="shared" si="1"/>
        <v>0</v>
      </c>
      <c r="D106" s="22">
        <f>SUM($B106:$B$1038)</f>
        <v>1.6618000000000013</v>
      </c>
    </row>
    <row r="107" spans="1:4">
      <c r="A107" s="23">
        <v>38443</v>
      </c>
      <c r="B107" s="21">
        <v>1.41E-2</v>
      </c>
      <c r="C107" s="22">
        <f t="shared" si="1"/>
        <v>0</v>
      </c>
      <c r="D107" s="22">
        <f>SUM($B107:$B$1038)</f>
        <v>1.6465000000000014</v>
      </c>
    </row>
    <row r="108" spans="1:4">
      <c r="A108" s="23">
        <v>38473</v>
      </c>
      <c r="B108" s="21">
        <v>1.4999999999999999E-2</v>
      </c>
      <c r="C108" s="22">
        <f t="shared" ref="C108:C139" si="2">IF(EOMONTH($F$2,-60)&lt;A108,SUM(B109:B167),0)</f>
        <v>0</v>
      </c>
      <c r="D108" s="22">
        <f>SUM($B108:$B$1038)</f>
        <v>1.6324000000000016</v>
      </c>
    </row>
    <row r="109" spans="1:4">
      <c r="A109" s="23">
        <v>38504</v>
      </c>
      <c r="B109" s="21">
        <v>1.5900000000000001E-2</v>
      </c>
      <c r="C109" s="22">
        <f t="shared" si="2"/>
        <v>0</v>
      </c>
      <c r="D109" s="22">
        <f>SUM($B109:$B$1038)</f>
        <v>1.6174000000000013</v>
      </c>
    </row>
    <row r="110" spans="1:4">
      <c r="A110" s="23">
        <v>38534</v>
      </c>
      <c r="B110" s="21">
        <v>1.5100000000000001E-2</v>
      </c>
      <c r="C110" s="22">
        <f t="shared" si="2"/>
        <v>0</v>
      </c>
      <c r="D110" s="22">
        <f>SUM($B110:$B$1038)</f>
        <v>1.6015000000000013</v>
      </c>
    </row>
    <row r="111" spans="1:4">
      <c r="A111" s="23">
        <v>38565</v>
      </c>
      <c r="B111" s="21">
        <v>1.66E-2</v>
      </c>
      <c r="C111" s="22">
        <f t="shared" si="2"/>
        <v>0</v>
      </c>
      <c r="D111" s="22">
        <f>SUM($B111:$B$1038)</f>
        <v>1.5864000000000011</v>
      </c>
    </row>
    <row r="112" spans="1:4">
      <c r="A112" s="23">
        <v>38596</v>
      </c>
      <c r="B112" s="21">
        <v>1.4999999999999999E-2</v>
      </c>
      <c r="C112" s="22">
        <f t="shared" si="2"/>
        <v>0</v>
      </c>
      <c r="D112" s="22">
        <f>SUM($B112:$B$1038)</f>
        <v>1.569800000000001</v>
      </c>
    </row>
    <row r="113" spans="1:4">
      <c r="A113" s="23">
        <v>38626</v>
      </c>
      <c r="B113" s="21">
        <v>1.41E-2</v>
      </c>
      <c r="C113" s="22">
        <f t="shared" si="2"/>
        <v>0</v>
      </c>
      <c r="D113" s="22">
        <f>SUM($B113:$B$1038)</f>
        <v>1.5548000000000011</v>
      </c>
    </row>
    <row r="114" spans="1:4">
      <c r="A114" s="23">
        <v>38657</v>
      </c>
      <c r="B114" s="21">
        <v>1.38E-2</v>
      </c>
      <c r="C114" s="22">
        <f t="shared" si="2"/>
        <v>0</v>
      </c>
      <c r="D114" s="22">
        <f>SUM($B114:$B$1038)</f>
        <v>1.5407000000000008</v>
      </c>
    </row>
    <row r="115" spans="1:4">
      <c r="A115" s="23">
        <v>38687</v>
      </c>
      <c r="B115" s="21">
        <v>1.47E-2</v>
      </c>
      <c r="C115" s="22">
        <f t="shared" si="2"/>
        <v>0</v>
      </c>
      <c r="D115" s="22">
        <f>SUM($B115:$B$1038)</f>
        <v>1.5269000000000008</v>
      </c>
    </row>
    <row r="116" spans="1:4">
      <c r="A116" s="20">
        <v>38718</v>
      </c>
      <c r="B116" s="21">
        <v>1.43E-2</v>
      </c>
      <c r="C116" s="22">
        <f t="shared" si="2"/>
        <v>0</v>
      </c>
      <c r="D116" s="22">
        <f>SUM($B116:$B$1038)</f>
        <v>1.5122000000000007</v>
      </c>
    </row>
    <row r="117" spans="1:4">
      <c r="A117" s="23">
        <v>38749</v>
      </c>
      <c r="B117" s="21">
        <v>1.15E-2</v>
      </c>
      <c r="C117" s="22">
        <f t="shared" si="2"/>
        <v>0</v>
      </c>
      <c r="D117" s="22">
        <f>SUM($B117:$B$1038)</f>
        <v>1.4979000000000007</v>
      </c>
    </row>
    <row r="118" spans="1:4">
      <c r="A118" s="23">
        <v>38777</v>
      </c>
      <c r="B118" s="21">
        <v>1.4200000000000001E-2</v>
      </c>
      <c r="C118" s="22">
        <f t="shared" si="2"/>
        <v>0</v>
      </c>
      <c r="D118" s="22">
        <f>SUM($B118:$B$1038)</f>
        <v>1.4864000000000006</v>
      </c>
    </row>
    <row r="119" spans="1:4">
      <c r="A119" s="23">
        <v>38808</v>
      </c>
      <c r="B119" s="21">
        <v>1.0800000000000001E-2</v>
      </c>
      <c r="C119" s="22">
        <f t="shared" si="2"/>
        <v>0</v>
      </c>
      <c r="D119" s="22">
        <f>SUM($B119:$B$1038)</f>
        <v>1.4722000000000006</v>
      </c>
    </row>
    <row r="120" spans="1:4">
      <c r="A120" s="23">
        <v>38838</v>
      </c>
      <c r="B120" s="21">
        <v>1.2800000000000001E-2</v>
      </c>
      <c r="C120" s="22">
        <f t="shared" si="2"/>
        <v>0</v>
      </c>
      <c r="D120" s="22">
        <f>SUM($B120:$B$1038)</f>
        <v>1.4614000000000007</v>
      </c>
    </row>
    <row r="121" spans="1:4">
      <c r="A121" s="23">
        <v>38869</v>
      </c>
      <c r="B121" s="21">
        <v>1.18E-2</v>
      </c>
      <c r="C121" s="22">
        <f t="shared" si="2"/>
        <v>0</v>
      </c>
      <c r="D121" s="22">
        <f>SUM($B121:$B$1038)</f>
        <v>1.4486000000000006</v>
      </c>
    </row>
    <row r="122" spans="1:4">
      <c r="A122" s="23">
        <v>38899</v>
      </c>
      <c r="B122" s="21">
        <v>1.17E-2</v>
      </c>
      <c r="C122" s="22">
        <f t="shared" si="2"/>
        <v>0</v>
      </c>
      <c r="D122" s="22">
        <f>SUM($B122:$B$1038)</f>
        <v>1.4368000000000005</v>
      </c>
    </row>
    <row r="123" spans="1:4">
      <c r="A123" s="23">
        <v>38930</v>
      </c>
      <c r="B123" s="21">
        <v>1.26E-2</v>
      </c>
      <c r="C123" s="22">
        <f t="shared" si="2"/>
        <v>0</v>
      </c>
      <c r="D123" s="22">
        <f>SUM($B123:$B$1038)</f>
        <v>1.4251000000000007</v>
      </c>
    </row>
    <row r="124" spans="1:4">
      <c r="A124" s="23">
        <v>38961</v>
      </c>
      <c r="B124" s="21">
        <v>1.06E-2</v>
      </c>
      <c r="C124" s="22">
        <f t="shared" si="2"/>
        <v>0</v>
      </c>
      <c r="D124" s="22">
        <f>SUM($B124:$B$1038)</f>
        <v>1.4125000000000005</v>
      </c>
    </row>
    <row r="125" spans="1:4">
      <c r="A125" s="23">
        <v>38991</v>
      </c>
      <c r="B125" s="21">
        <v>1.09E-2</v>
      </c>
      <c r="C125" s="22">
        <f t="shared" si="2"/>
        <v>0</v>
      </c>
      <c r="D125" s="22">
        <f>SUM($B125:$B$1038)</f>
        <v>1.4019000000000006</v>
      </c>
    </row>
    <row r="126" spans="1:4">
      <c r="A126" s="23">
        <v>39022</v>
      </c>
      <c r="B126" s="21">
        <v>1.0200000000000001E-2</v>
      </c>
      <c r="C126" s="22">
        <f t="shared" si="2"/>
        <v>0</v>
      </c>
      <c r="D126" s="22">
        <f>SUM($B126:$B$1038)</f>
        <v>1.3910000000000007</v>
      </c>
    </row>
    <row r="127" spans="1:4">
      <c r="A127" s="23">
        <v>39052</v>
      </c>
      <c r="B127" s="21">
        <v>9.9000000000000008E-3</v>
      </c>
      <c r="C127" s="22">
        <f t="shared" si="2"/>
        <v>0</v>
      </c>
      <c r="D127" s="22">
        <f>SUM($B127:$B$1038)</f>
        <v>1.3808000000000007</v>
      </c>
    </row>
    <row r="128" spans="1:4">
      <c r="A128" s="20">
        <v>39083</v>
      </c>
      <c r="B128" s="21">
        <v>1.0800000000000001E-2</v>
      </c>
      <c r="C128" s="22">
        <f t="shared" si="2"/>
        <v>0</v>
      </c>
      <c r="D128" s="22">
        <f>SUM($B128:$B$1038)</f>
        <v>1.3709000000000007</v>
      </c>
    </row>
    <row r="129" spans="1:4">
      <c r="A129" s="23">
        <v>39114</v>
      </c>
      <c r="B129" s="21">
        <v>8.6999999999999994E-3</v>
      </c>
      <c r="C129" s="22">
        <f t="shared" si="2"/>
        <v>0</v>
      </c>
      <c r="D129" s="22">
        <f>SUM($B129:$B$1038)</f>
        <v>1.3601000000000003</v>
      </c>
    </row>
    <row r="130" spans="1:4">
      <c r="A130" s="23">
        <v>39142</v>
      </c>
      <c r="B130" s="21">
        <v>1.0500000000000001E-2</v>
      </c>
      <c r="C130" s="22">
        <f t="shared" si="2"/>
        <v>0</v>
      </c>
      <c r="D130" s="22">
        <f>SUM($B130:$B$1038)</f>
        <v>1.3514000000000004</v>
      </c>
    </row>
    <row r="131" spans="1:4">
      <c r="A131" s="23">
        <v>39173</v>
      </c>
      <c r="B131" s="21">
        <v>9.4000000000000004E-3</v>
      </c>
      <c r="C131" s="22">
        <f t="shared" si="2"/>
        <v>0</v>
      </c>
      <c r="D131" s="22">
        <f>SUM($B131:$B$1038)</f>
        <v>1.3409000000000002</v>
      </c>
    </row>
    <row r="132" spans="1:4">
      <c r="A132" s="23">
        <v>39203</v>
      </c>
      <c r="B132" s="21">
        <v>1.03E-2</v>
      </c>
      <c r="C132" s="22">
        <f t="shared" si="2"/>
        <v>0</v>
      </c>
      <c r="D132" s="22">
        <f>SUM($B132:$B$1038)</f>
        <v>1.3315000000000003</v>
      </c>
    </row>
    <row r="133" spans="1:4">
      <c r="A133" s="23">
        <v>39234</v>
      </c>
      <c r="B133" s="21">
        <v>9.1000000000000004E-3</v>
      </c>
      <c r="C133" s="22">
        <f t="shared" si="2"/>
        <v>0</v>
      </c>
      <c r="D133" s="22">
        <f>SUM($B133:$B$1038)</f>
        <v>1.3212000000000004</v>
      </c>
    </row>
    <row r="134" spans="1:4">
      <c r="A134" s="23">
        <v>39264</v>
      </c>
      <c r="B134" s="21">
        <v>9.7000000000000003E-3</v>
      </c>
      <c r="C134" s="22">
        <f t="shared" si="2"/>
        <v>0</v>
      </c>
      <c r="D134" s="22">
        <f>SUM($B134:$B$1038)</f>
        <v>1.3121000000000003</v>
      </c>
    </row>
    <row r="135" spans="1:4">
      <c r="A135" s="23">
        <v>39295</v>
      </c>
      <c r="B135" s="21">
        <v>9.9000000000000008E-3</v>
      </c>
      <c r="C135" s="22">
        <f t="shared" si="2"/>
        <v>0</v>
      </c>
      <c r="D135" s="22">
        <f>SUM($B135:$B$1038)</f>
        <v>1.3024000000000002</v>
      </c>
    </row>
    <row r="136" spans="1:4">
      <c r="A136" s="23">
        <v>39326</v>
      </c>
      <c r="B136" s="21">
        <v>8.0000000000000002E-3</v>
      </c>
      <c r="C136" s="22">
        <f t="shared" si="2"/>
        <v>0</v>
      </c>
      <c r="D136" s="22">
        <f>SUM($B136:$B$1038)</f>
        <v>1.2925000000000006</v>
      </c>
    </row>
    <row r="137" spans="1:4">
      <c r="A137" s="23">
        <v>39356</v>
      </c>
      <c r="B137" s="21">
        <v>9.2999999999999992E-3</v>
      </c>
      <c r="C137" s="22">
        <f t="shared" si="2"/>
        <v>0</v>
      </c>
      <c r="D137" s="22">
        <f>SUM($B137:$B$1038)</f>
        <v>1.2845000000000002</v>
      </c>
    </row>
    <row r="138" spans="1:4">
      <c r="A138" s="23">
        <v>39387</v>
      </c>
      <c r="B138" s="21">
        <v>8.3999999999999995E-3</v>
      </c>
      <c r="C138" s="22">
        <f t="shared" si="2"/>
        <v>0</v>
      </c>
      <c r="D138" s="22">
        <f>SUM($B138:$B$1038)</f>
        <v>1.2752000000000003</v>
      </c>
    </row>
    <row r="139" spans="1:4">
      <c r="A139" s="23">
        <v>39417</v>
      </c>
      <c r="B139" s="21">
        <v>8.3999999999999995E-3</v>
      </c>
      <c r="C139" s="22">
        <f t="shared" si="2"/>
        <v>0</v>
      </c>
      <c r="D139" s="22">
        <f>SUM($B139:$B$1038)</f>
        <v>1.2668000000000004</v>
      </c>
    </row>
    <row r="140" spans="1:4">
      <c r="A140" s="20">
        <v>39448</v>
      </c>
      <c r="B140" s="21">
        <v>9.2999999999999992E-3</v>
      </c>
      <c r="C140" s="22">
        <f t="shared" ref="C140:C171" si="3">IF(EOMONTH($F$2,-60)&lt;A140,SUM(B141:B199),0)</f>
        <v>0</v>
      </c>
      <c r="D140" s="22">
        <f>SUM($B140:$B$1038)</f>
        <v>1.2584000000000004</v>
      </c>
    </row>
    <row r="141" spans="1:4">
      <c r="A141" s="23">
        <v>39479</v>
      </c>
      <c r="B141" s="21">
        <v>8.0000000000000002E-3</v>
      </c>
      <c r="C141" s="22">
        <f t="shared" si="3"/>
        <v>0</v>
      </c>
      <c r="D141" s="22">
        <f>SUM($B141:$B$1038)</f>
        <v>1.2491000000000003</v>
      </c>
    </row>
    <row r="142" spans="1:4">
      <c r="A142" s="23">
        <v>39508</v>
      </c>
      <c r="B142" s="21">
        <v>8.3999999999999995E-3</v>
      </c>
      <c r="C142" s="22">
        <f t="shared" si="3"/>
        <v>0</v>
      </c>
      <c r="D142" s="22">
        <f>SUM($B142:$B$1038)</f>
        <v>1.2411000000000005</v>
      </c>
    </row>
    <row r="143" spans="1:4">
      <c r="A143" s="23">
        <v>39539</v>
      </c>
      <c r="B143" s="21">
        <v>8.9999999999999993E-3</v>
      </c>
      <c r="C143" s="22">
        <f t="shared" si="3"/>
        <v>0</v>
      </c>
      <c r="D143" s="22">
        <f>SUM($B143:$B$1038)</f>
        <v>1.2327000000000004</v>
      </c>
    </row>
    <row r="144" spans="1:4">
      <c r="A144" s="23">
        <v>39569</v>
      </c>
      <c r="B144" s="21">
        <v>8.8000000000000005E-3</v>
      </c>
      <c r="C144" s="22">
        <f t="shared" si="3"/>
        <v>0</v>
      </c>
      <c r="D144" s="22">
        <f>SUM($B144:$B$1038)</f>
        <v>1.2237000000000005</v>
      </c>
    </row>
    <row r="145" spans="1:4">
      <c r="A145" s="23">
        <v>39600</v>
      </c>
      <c r="B145" s="21">
        <v>9.5999999999999992E-3</v>
      </c>
      <c r="C145" s="22">
        <f t="shared" si="3"/>
        <v>0</v>
      </c>
      <c r="D145" s="22">
        <f>SUM($B145:$B$1038)</f>
        <v>1.2149000000000005</v>
      </c>
    </row>
    <row r="146" spans="1:4">
      <c r="A146" s="23">
        <v>39630</v>
      </c>
      <c r="B146" s="21">
        <v>1.0699999999999999E-2</v>
      </c>
      <c r="C146" s="22">
        <f t="shared" si="3"/>
        <v>0</v>
      </c>
      <c r="D146" s="22">
        <f>SUM($B146:$B$1038)</f>
        <v>1.2053000000000003</v>
      </c>
    </row>
    <row r="147" spans="1:4">
      <c r="A147" s="23">
        <v>39661</v>
      </c>
      <c r="B147" s="21">
        <v>1.0200000000000001E-2</v>
      </c>
      <c r="C147" s="22">
        <f t="shared" si="3"/>
        <v>0</v>
      </c>
      <c r="D147" s="22">
        <f>SUM($B147:$B$1038)</f>
        <v>1.1946000000000001</v>
      </c>
    </row>
    <row r="148" spans="1:4">
      <c r="A148" s="23">
        <v>39692</v>
      </c>
      <c r="B148" s="21">
        <v>1.0999999999999999E-2</v>
      </c>
      <c r="C148" s="22">
        <f t="shared" si="3"/>
        <v>0</v>
      </c>
      <c r="D148" s="22">
        <f>SUM($B148:$B$1038)</f>
        <v>1.1843999999999999</v>
      </c>
    </row>
    <row r="149" spans="1:4">
      <c r="A149" s="23">
        <v>39722</v>
      </c>
      <c r="B149" s="21">
        <v>1.18E-2</v>
      </c>
      <c r="C149" s="22">
        <f t="shared" si="3"/>
        <v>0</v>
      </c>
      <c r="D149" s="22">
        <f>SUM($B149:$B$1038)</f>
        <v>1.1734000000000002</v>
      </c>
    </row>
    <row r="150" spans="1:4">
      <c r="A150" s="23">
        <v>39753</v>
      </c>
      <c r="B150" s="21">
        <v>1.0200000000000001E-2</v>
      </c>
      <c r="C150" s="22">
        <f t="shared" si="3"/>
        <v>0</v>
      </c>
      <c r="D150" s="22">
        <f>SUM($B150:$B$1038)</f>
        <v>1.1616000000000002</v>
      </c>
    </row>
    <row r="151" spans="1:4">
      <c r="A151" s="23">
        <v>39783</v>
      </c>
      <c r="B151" s="21">
        <v>1.12E-2</v>
      </c>
      <c r="C151" s="22">
        <f t="shared" si="3"/>
        <v>0</v>
      </c>
      <c r="D151" s="22">
        <f>SUM($B151:$B$1038)</f>
        <v>1.1514</v>
      </c>
    </row>
    <row r="152" spans="1:4">
      <c r="A152" s="20">
        <v>39814</v>
      </c>
      <c r="B152" s="21">
        <v>1.0500000000000001E-2</v>
      </c>
      <c r="C152" s="22">
        <f t="shared" si="3"/>
        <v>0</v>
      </c>
      <c r="D152" s="22">
        <f>SUM($B152:$B$1038)</f>
        <v>1.1402000000000001</v>
      </c>
    </row>
    <row r="153" spans="1:4">
      <c r="A153" s="23">
        <v>39845</v>
      </c>
      <c r="B153" s="21">
        <v>8.6E-3</v>
      </c>
      <c r="C153" s="22">
        <f t="shared" si="3"/>
        <v>0</v>
      </c>
      <c r="D153" s="22">
        <f>SUM($B153:$B$1038)</f>
        <v>1.1296999999999999</v>
      </c>
    </row>
    <row r="154" spans="1:4">
      <c r="A154" s="23">
        <v>39873</v>
      </c>
      <c r="B154" s="21">
        <v>9.7000000000000003E-3</v>
      </c>
      <c r="C154" s="22">
        <f t="shared" si="3"/>
        <v>0</v>
      </c>
      <c r="D154" s="22">
        <f>SUM($B154:$B$1038)</f>
        <v>1.1211000000000002</v>
      </c>
    </row>
    <row r="155" spans="1:4">
      <c r="A155" s="23">
        <v>39904</v>
      </c>
      <c r="B155" s="21">
        <v>8.3999999999999995E-3</v>
      </c>
      <c r="C155" s="22">
        <f t="shared" si="3"/>
        <v>0</v>
      </c>
      <c r="D155" s="22">
        <f>SUM($B155:$B$1038)</f>
        <v>1.1114000000000004</v>
      </c>
    </row>
    <row r="156" spans="1:4">
      <c r="A156" s="23">
        <v>39934</v>
      </c>
      <c r="B156" s="21">
        <v>7.7000000000000002E-3</v>
      </c>
      <c r="C156" s="22">
        <f t="shared" si="3"/>
        <v>0</v>
      </c>
      <c r="D156" s="22">
        <f>SUM($B156:$B$1038)</f>
        <v>1.1030000000000004</v>
      </c>
    </row>
    <row r="157" spans="1:4">
      <c r="A157" s="23">
        <v>39965</v>
      </c>
      <c r="B157" s="21">
        <v>7.6E-3</v>
      </c>
      <c r="C157" s="22">
        <f t="shared" si="3"/>
        <v>0</v>
      </c>
      <c r="D157" s="22">
        <f>SUM($B157:$B$1038)</f>
        <v>1.0953000000000004</v>
      </c>
    </row>
    <row r="158" spans="1:4">
      <c r="A158" s="23">
        <v>39995</v>
      </c>
      <c r="B158" s="21">
        <v>7.9000000000000008E-3</v>
      </c>
      <c r="C158" s="22">
        <f t="shared" si="3"/>
        <v>0</v>
      </c>
      <c r="D158" s="22">
        <f>SUM($B158:$B$1038)</f>
        <v>1.0877000000000008</v>
      </c>
    </row>
    <row r="159" spans="1:4">
      <c r="A159" s="23">
        <v>40026</v>
      </c>
      <c r="B159" s="21">
        <v>6.8999999999999999E-3</v>
      </c>
      <c r="C159" s="22">
        <f t="shared" si="3"/>
        <v>0</v>
      </c>
      <c r="D159" s="22">
        <f>SUM($B159:$B$1038)</f>
        <v>1.0798000000000005</v>
      </c>
    </row>
    <row r="160" spans="1:4">
      <c r="A160" s="23">
        <v>40057</v>
      </c>
      <c r="B160" s="21">
        <v>6.8999999999999999E-3</v>
      </c>
      <c r="C160" s="22">
        <f t="shared" si="3"/>
        <v>0</v>
      </c>
      <c r="D160" s="22">
        <f>SUM($B160:$B$1038)</f>
        <v>1.0729000000000004</v>
      </c>
    </row>
    <row r="161" spans="1:4">
      <c r="A161" s="23">
        <v>40087</v>
      </c>
      <c r="B161" s="21">
        <v>6.8999999999999999E-3</v>
      </c>
      <c r="C161" s="22">
        <f t="shared" si="3"/>
        <v>0</v>
      </c>
      <c r="D161" s="22">
        <f>SUM($B161:$B$1038)</f>
        <v>1.0660000000000003</v>
      </c>
    </row>
    <row r="162" spans="1:4">
      <c r="A162" s="23">
        <v>40118</v>
      </c>
      <c r="B162" s="21">
        <v>6.6E-3</v>
      </c>
      <c r="C162" s="22">
        <f t="shared" si="3"/>
        <v>0</v>
      </c>
      <c r="D162" s="22">
        <f>SUM($B162:$B$1038)</f>
        <v>1.0591000000000004</v>
      </c>
    </row>
    <row r="163" spans="1:4">
      <c r="A163" s="23">
        <v>40148</v>
      </c>
      <c r="B163" s="21">
        <v>7.3000000000000001E-3</v>
      </c>
      <c r="C163" s="22">
        <f t="shared" si="3"/>
        <v>0</v>
      </c>
      <c r="D163" s="22">
        <f>SUM($B163:$B$1038)</f>
        <v>1.0525000000000004</v>
      </c>
    </row>
    <row r="164" spans="1:4">
      <c r="A164" s="20">
        <v>40179</v>
      </c>
      <c r="B164" s="21">
        <v>6.6E-3</v>
      </c>
      <c r="C164" s="22">
        <f t="shared" si="3"/>
        <v>0</v>
      </c>
      <c r="D164" s="22">
        <f>SUM($B164:$B$1038)</f>
        <v>1.0452000000000004</v>
      </c>
    </row>
    <row r="165" spans="1:4">
      <c r="A165" s="23">
        <v>40210</v>
      </c>
      <c r="B165" s="21">
        <v>5.8999999999999999E-3</v>
      </c>
      <c r="C165" s="22">
        <f t="shared" si="3"/>
        <v>0</v>
      </c>
      <c r="D165" s="22">
        <f>SUM($B165:$B$1038)</f>
        <v>1.0386000000000004</v>
      </c>
    </row>
    <row r="166" spans="1:4">
      <c r="A166" s="23">
        <v>40238</v>
      </c>
      <c r="B166" s="21">
        <v>7.6E-3</v>
      </c>
      <c r="C166" s="22">
        <f t="shared" si="3"/>
        <v>0</v>
      </c>
      <c r="D166" s="22">
        <f>SUM($B166:$B$1038)</f>
        <v>1.0327000000000004</v>
      </c>
    </row>
    <row r="167" spans="1:4">
      <c r="A167" s="23">
        <v>40269</v>
      </c>
      <c r="B167" s="21">
        <v>6.7000000000000002E-3</v>
      </c>
      <c r="C167" s="22">
        <f t="shared" si="3"/>
        <v>0</v>
      </c>
      <c r="D167" s="22">
        <f>SUM($B167:$B$1038)</f>
        <v>1.0251000000000003</v>
      </c>
    </row>
    <row r="168" spans="1:4">
      <c r="A168" s="23">
        <v>40299</v>
      </c>
      <c r="B168" s="21">
        <v>7.4999999999999997E-3</v>
      </c>
      <c r="C168" s="22">
        <f t="shared" si="3"/>
        <v>0</v>
      </c>
      <c r="D168" s="22">
        <f>SUM($B168:$B$1038)</f>
        <v>1.0184000000000004</v>
      </c>
    </row>
    <row r="169" spans="1:4">
      <c r="A169" s="23">
        <v>40330</v>
      </c>
      <c r="B169" s="21">
        <v>7.9000000000000008E-3</v>
      </c>
      <c r="C169" s="22">
        <f t="shared" si="3"/>
        <v>0</v>
      </c>
      <c r="D169" s="22">
        <f>SUM($B169:$B$1038)</f>
        <v>1.0109000000000004</v>
      </c>
    </row>
    <row r="170" spans="1:4">
      <c r="A170" s="23">
        <v>40360</v>
      </c>
      <c r="B170" s="21">
        <v>8.6E-3</v>
      </c>
      <c r="C170" s="22">
        <f t="shared" si="3"/>
        <v>0</v>
      </c>
      <c r="D170" s="22">
        <f>SUM($B170:$B$1038)</f>
        <v>1.0030000000000003</v>
      </c>
    </row>
    <row r="171" spans="1:4">
      <c r="A171" s="23">
        <v>40391</v>
      </c>
      <c r="B171" s="21">
        <v>8.8999999999999999E-3</v>
      </c>
      <c r="C171" s="22">
        <f t="shared" si="3"/>
        <v>0</v>
      </c>
      <c r="D171" s="22">
        <f>SUM($B171:$B$1038)</f>
        <v>0.99440000000000028</v>
      </c>
    </row>
    <row r="172" spans="1:4">
      <c r="A172" s="23">
        <v>40422</v>
      </c>
      <c r="B172" s="21">
        <v>8.5000000000000006E-3</v>
      </c>
      <c r="C172" s="22">
        <f t="shared" ref="C172:C203" si="4">IF(EOMONTH($F$2,-60)&lt;A172,SUM(B173:B231),0)</f>
        <v>0</v>
      </c>
      <c r="D172" s="22">
        <f>SUM($B172:$B$1038)</f>
        <v>0.98550000000000015</v>
      </c>
    </row>
    <row r="173" spans="1:4">
      <c r="A173" s="23">
        <v>40452</v>
      </c>
      <c r="B173" s="21">
        <v>8.0999999999999996E-3</v>
      </c>
      <c r="C173" s="22">
        <f t="shared" si="4"/>
        <v>0</v>
      </c>
      <c r="D173" s="22">
        <f>SUM($B173:$B$1038)</f>
        <v>0.9770000000000002</v>
      </c>
    </row>
    <row r="174" spans="1:4">
      <c r="A174" s="23">
        <v>40483</v>
      </c>
      <c r="B174" s="21">
        <v>8.0999999999999996E-3</v>
      </c>
      <c r="C174" s="22">
        <f t="shared" si="4"/>
        <v>0</v>
      </c>
      <c r="D174" s="22">
        <f>SUM($B174:$B$1038)</f>
        <v>0.96890000000000021</v>
      </c>
    </row>
    <row r="175" spans="1:4">
      <c r="A175" s="23">
        <v>40513</v>
      </c>
      <c r="B175" s="21">
        <v>9.2999999999999992E-3</v>
      </c>
      <c r="C175" s="22">
        <f t="shared" si="4"/>
        <v>0</v>
      </c>
      <c r="D175" s="22">
        <f>SUM($B175:$B$1038)</f>
        <v>0.96080000000000021</v>
      </c>
    </row>
    <row r="176" spans="1:4">
      <c r="A176" s="20">
        <v>40544</v>
      </c>
      <c r="B176" s="21">
        <v>8.6E-3</v>
      </c>
      <c r="C176" s="22">
        <f t="shared" si="4"/>
        <v>0</v>
      </c>
      <c r="D176" s="22">
        <f>SUM($B176:$B$1038)</f>
        <v>0.95150000000000012</v>
      </c>
    </row>
    <row r="177" spans="1:4">
      <c r="A177" s="23">
        <v>40575</v>
      </c>
      <c r="B177" s="21">
        <v>8.3999999999999995E-3</v>
      </c>
      <c r="C177" s="22">
        <f t="shared" si="4"/>
        <v>0</v>
      </c>
      <c r="D177" s="22">
        <f>SUM($B177:$B$1038)</f>
        <v>0.94290000000000018</v>
      </c>
    </row>
    <row r="178" spans="1:4">
      <c r="A178" s="23">
        <v>40603</v>
      </c>
      <c r="B178" s="21">
        <v>9.1999999999999998E-3</v>
      </c>
      <c r="C178" s="22">
        <f t="shared" si="4"/>
        <v>0</v>
      </c>
      <c r="D178" s="22">
        <f>SUM($B178:$B$1038)</f>
        <v>0.93450000000000022</v>
      </c>
    </row>
    <row r="179" spans="1:4">
      <c r="A179" s="23">
        <v>40634</v>
      </c>
      <c r="B179" s="21">
        <v>8.3999999999999995E-3</v>
      </c>
      <c r="C179" s="22">
        <f t="shared" si="4"/>
        <v>0</v>
      </c>
      <c r="D179" s="22">
        <f>SUM($B179:$B$1038)</f>
        <v>0.92530000000000012</v>
      </c>
    </row>
    <row r="180" spans="1:4">
      <c r="A180" s="23">
        <v>40664</v>
      </c>
      <c r="B180" s="21">
        <v>9.9000000000000008E-3</v>
      </c>
      <c r="C180" s="22">
        <f t="shared" si="4"/>
        <v>0</v>
      </c>
      <c r="D180" s="22">
        <f>SUM($B180:$B$1038)</f>
        <v>0.91690000000000016</v>
      </c>
    </row>
    <row r="181" spans="1:4">
      <c r="A181" s="23">
        <v>40695</v>
      </c>
      <c r="B181" s="21">
        <v>9.5999999999999992E-3</v>
      </c>
      <c r="C181" s="22">
        <f t="shared" si="4"/>
        <v>0</v>
      </c>
      <c r="D181" s="22">
        <f>SUM($B181:$B$1038)</f>
        <v>0.90700000000000014</v>
      </c>
    </row>
    <row r="182" spans="1:4">
      <c r="A182" s="23">
        <v>40725</v>
      </c>
      <c r="B182" s="21">
        <v>9.7000000000000003E-3</v>
      </c>
      <c r="C182" s="22">
        <f t="shared" si="4"/>
        <v>0</v>
      </c>
      <c r="D182" s="22">
        <f>SUM($B182:$B$1038)</f>
        <v>0.89740000000000009</v>
      </c>
    </row>
    <row r="183" spans="1:4">
      <c r="A183" s="23">
        <v>40756</v>
      </c>
      <c r="B183" s="21">
        <v>1.0699999999999999E-2</v>
      </c>
      <c r="C183" s="22">
        <f t="shared" si="4"/>
        <v>0</v>
      </c>
      <c r="D183" s="22">
        <f>SUM($B183:$B$1038)</f>
        <v>0.88770000000000004</v>
      </c>
    </row>
    <row r="184" spans="1:4">
      <c r="A184" s="23">
        <v>40787</v>
      </c>
      <c r="B184" s="21">
        <v>9.4000000000000004E-3</v>
      </c>
      <c r="C184" s="22">
        <f t="shared" si="4"/>
        <v>0</v>
      </c>
      <c r="D184" s="22">
        <f>SUM($B184:$B$1038)</f>
        <v>0.87700000000000011</v>
      </c>
    </row>
    <row r="185" spans="1:4">
      <c r="A185" s="23">
        <v>40817</v>
      </c>
      <c r="B185" s="21">
        <v>8.8000000000000005E-3</v>
      </c>
      <c r="C185" s="22">
        <f t="shared" si="4"/>
        <v>0</v>
      </c>
      <c r="D185" s="22">
        <f>SUM($B185:$B$1038)</f>
        <v>0.86760000000000026</v>
      </c>
    </row>
    <row r="186" spans="1:4">
      <c r="A186" s="23">
        <v>40848</v>
      </c>
      <c r="B186" s="21">
        <v>8.6E-3</v>
      </c>
      <c r="C186" s="22">
        <f t="shared" si="4"/>
        <v>0</v>
      </c>
      <c r="D186" s="22">
        <f>SUM($B186:$B$1038)</f>
        <v>0.85880000000000023</v>
      </c>
    </row>
    <row r="187" spans="1:4">
      <c r="A187" s="23">
        <v>40878</v>
      </c>
      <c r="B187" s="21">
        <v>9.1000000000000004E-3</v>
      </c>
      <c r="C187" s="22">
        <f t="shared" si="4"/>
        <v>0</v>
      </c>
      <c r="D187" s="22">
        <f>SUM($B187:$B$1038)</f>
        <v>0.85020000000000029</v>
      </c>
    </row>
    <row r="188" spans="1:4">
      <c r="A188" s="20">
        <v>40909</v>
      </c>
      <c r="B188" s="21">
        <v>8.8999999999999999E-3</v>
      </c>
      <c r="C188" s="22">
        <f t="shared" si="4"/>
        <v>0</v>
      </c>
      <c r="D188" s="22">
        <f>SUM($B188:$B$1038)</f>
        <v>0.84110000000000018</v>
      </c>
    </row>
    <row r="189" spans="1:4">
      <c r="A189" s="23">
        <v>40940</v>
      </c>
      <c r="B189" s="21">
        <v>7.4999999999999997E-3</v>
      </c>
      <c r="C189" s="22">
        <f t="shared" si="4"/>
        <v>0</v>
      </c>
      <c r="D189" s="22">
        <f>SUM($B189:$B$1038)</f>
        <v>0.83220000000000027</v>
      </c>
    </row>
    <row r="190" spans="1:4">
      <c r="A190" s="23">
        <v>40969</v>
      </c>
      <c r="B190" s="21">
        <v>8.2000000000000007E-3</v>
      </c>
      <c r="C190" s="22">
        <f t="shared" si="4"/>
        <v>0</v>
      </c>
      <c r="D190" s="22">
        <f>SUM($B190:$B$1038)</f>
        <v>0.82470000000000032</v>
      </c>
    </row>
    <row r="191" spans="1:4">
      <c r="A191" s="23">
        <v>41000</v>
      </c>
      <c r="B191" s="21">
        <v>7.1000000000000004E-3</v>
      </c>
      <c r="C191" s="22">
        <f t="shared" si="4"/>
        <v>0</v>
      </c>
      <c r="D191" s="22">
        <f>SUM($B191:$B$1038)</f>
        <v>0.81650000000000023</v>
      </c>
    </row>
    <row r="192" spans="1:4">
      <c r="A192" s="23">
        <v>41030</v>
      </c>
      <c r="B192" s="21">
        <v>7.4000000000000003E-3</v>
      </c>
      <c r="C192" s="22">
        <f t="shared" si="4"/>
        <v>0</v>
      </c>
      <c r="D192" s="22">
        <f>SUM($B192:$B$1038)</f>
        <v>0.80940000000000023</v>
      </c>
    </row>
    <row r="193" spans="1:4">
      <c r="A193" s="23">
        <v>41061</v>
      </c>
      <c r="B193" s="21">
        <v>6.4000000000000003E-3</v>
      </c>
      <c r="C193" s="22">
        <f t="shared" si="4"/>
        <v>0</v>
      </c>
      <c r="D193" s="22">
        <f>SUM($B193:$B$1038)</f>
        <v>0.80200000000000016</v>
      </c>
    </row>
    <row r="194" spans="1:4">
      <c r="A194" s="23">
        <v>41091</v>
      </c>
      <c r="B194" s="21">
        <v>6.7999999999999996E-3</v>
      </c>
      <c r="C194" s="22">
        <f t="shared" si="4"/>
        <v>0</v>
      </c>
      <c r="D194" s="22">
        <f>SUM($B194:$B$1038)</f>
        <v>0.7956000000000002</v>
      </c>
    </row>
    <row r="195" spans="1:4">
      <c r="A195" s="23">
        <v>41122</v>
      </c>
      <c r="B195" s="21">
        <v>6.8999999999999999E-3</v>
      </c>
      <c r="C195" s="22">
        <f t="shared" si="4"/>
        <v>0</v>
      </c>
      <c r="D195" s="22">
        <f>SUM($B195:$B$1038)</f>
        <v>0.78880000000000017</v>
      </c>
    </row>
    <row r="196" spans="1:4">
      <c r="A196" s="23">
        <v>41153</v>
      </c>
      <c r="B196" s="21">
        <v>5.4000000000000003E-3</v>
      </c>
      <c r="C196" s="22">
        <f t="shared" si="4"/>
        <v>0</v>
      </c>
      <c r="D196" s="22">
        <f>SUM($B196:$B$1038)</f>
        <v>0.78190000000000015</v>
      </c>
    </row>
    <row r="197" spans="1:4">
      <c r="A197" s="23">
        <v>41183</v>
      </c>
      <c r="B197" s="21">
        <v>6.1000000000000004E-3</v>
      </c>
      <c r="C197" s="22">
        <f t="shared" si="4"/>
        <v>0</v>
      </c>
      <c r="D197" s="22">
        <f>SUM($B197:$B$1038)</f>
        <v>0.77650000000000019</v>
      </c>
    </row>
    <row r="198" spans="1:4">
      <c r="A198" s="23">
        <v>41214</v>
      </c>
      <c r="B198" s="21">
        <v>5.4999999999999997E-3</v>
      </c>
      <c r="C198" s="22">
        <f t="shared" si="4"/>
        <v>0</v>
      </c>
      <c r="D198" s="22">
        <f>SUM($B198:$B$1038)</f>
        <v>0.7704000000000002</v>
      </c>
    </row>
    <row r="199" spans="1:4">
      <c r="A199" s="23">
        <v>41244</v>
      </c>
      <c r="B199" s="21">
        <v>5.4999999999999997E-3</v>
      </c>
      <c r="C199" s="22">
        <f t="shared" si="4"/>
        <v>0</v>
      </c>
      <c r="D199" s="22">
        <f>SUM($B199:$B$1038)</f>
        <v>0.76490000000000025</v>
      </c>
    </row>
    <row r="200" spans="1:4">
      <c r="A200" s="20">
        <v>41275</v>
      </c>
      <c r="B200" s="21">
        <v>6.0000000000000001E-3</v>
      </c>
      <c r="C200" s="22">
        <f t="shared" si="4"/>
        <v>0</v>
      </c>
      <c r="D200" s="22">
        <f>SUM($B200:$B$1038)</f>
        <v>0.75940000000000019</v>
      </c>
    </row>
    <row r="201" spans="1:4">
      <c r="A201" s="23">
        <v>41306</v>
      </c>
      <c r="B201" s="21">
        <v>4.8999999999999998E-3</v>
      </c>
      <c r="C201" s="22">
        <f t="shared" si="4"/>
        <v>0</v>
      </c>
      <c r="D201" s="22">
        <f>SUM($B201:$B$1038)</f>
        <v>0.75340000000000018</v>
      </c>
    </row>
    <row r="202" spans="1:4">
      <c r="A202" s="23">
        <v>41334</v>
      </c>
      <c r="B202" s="21">
        <v>5.4999999999999997E-3</v>
      </c>
      <c r="C202" s="22">
        <f t="shared" si="4"/>
        <v>0</v>
      </c>
      <c r="D202" s="22">
        <f>SUM($B202:$B$1038)</f>
        <v>0.74850000000000017</v>
      </c>
    </row>
    <row r="203" spans="1:4">
      <c r="A203" s="23">
        <v>41365</v>
      </c>
      <c r="B203" s="21">
        <v>6.1000000000000004E-3</v>
      </c>
      <c r="C203" s="22">
        <f t="shared" si="4"/>
        <v>0</v>
      </c>
      <c r="D203" s="22">
        <f>SUM($B203:$B$1038)</f>
        <v>0.74300000000000022</v>
      </c>
    </row>
    <row r="204" spans="1:4">
      <c r="A204" s="23">
        <v>41395</v>
      </c>
      <c r="B204" s="21">
        <v>6.0000000000000001E-3</v>
      </c>
      <c r="C204" s="22">
        <f t="shared" ref="C204:C212" si="5">IF(EOMONTH($F$2,-60)&lt;A204,SUM(B205:B263),0)</f>
        <v>0</v>
      </c>
      <c r="D204" s="22">
        <f>SUM($B204:$B$1038)</f>
        <v>0.73690000000000033</v>
      </c>
    </row>
    <row r="205" spans="1:4">
      <c r="A205" s="23">
        <v>41426</v>
      </c>
      <c r="B205" s="21">
        <v>6.1000000000000004E-3</v>
      </c>
      <c r="C205" s="22">
        <f t="shared" si="5"/>
        <v>0</v>
      </c>
      <c r="D205" s="22">
        <f>SUM($B205:$B$1038)</f>
        <v>0.73090000000000033</v>
      </c>
    </row>
    <row r="206" spans="1:4">
      <c r="A206" s="23">
        <v>41456</v>
      </c>
      <c r="B206" s="21">
        <v>7.1999999999999998E-3</v>
      </c>
      <c r="C206" s="22">
        <f t="shared" si="5"/>
        <v>0</v>
      </c>
      <c r="D206" s="22">
        <f>SUM($B206:$B$1038)</f>
        <v>0.72480000000000022</v>
      </c>
    </row>
    <row r="207" spans="1:4">
      <c r="A207" s="23">
        <v>41487</v>
      </c>
      <c r="B207" s="21">
        <v>7.1000000000000004E-3</v>
      </c>
      <c r="C207" s="22">
        <f t="shared" si="5"/>
        <v>0</v>
      </c>
      <c r="D207" s="22">
        <f>SUM($B207:$B$1038)</f>
        <v>0.71760000000000024</v>
      </c>
    </row>
    <row r="208" spans="1:4">
      <c r="A208" s="23">
        <v>41518</v>
      </c>
      <c r="B208" s="21">
        <v>7.1000000000000004E-3</v>
      </c>
      <c r="C208" s="22">
        <f t="shared" si="5"/>
        <v>0</v>
      </c>
      <c r="D208" s="22">
        <f>SUM($B208:$B$1038)</f>
        <v>0.71050000000000024</v>
      </c>
    </row>
    <row r="209" spans="1:4">
      <c r="A209" s="23">
        <v>41548</v>
      </c>
      <c r="B209" s="21">
        <v>8.0999999999999996E-3</v>
      </c>
      <c r="C209" s="22">
        <f t="shared" si="5"/>
        <v>0</v>
      </c>
      <c r="D209" s="22">
        <f>SUM($B209:$B$1038)</f>
        <v>0.70340000000000025</v>
      </c>
    </row>
    <row r="210" spans="1:4">
      <c r="A210" s="23">
        <v>41579</v>
      </c>
      <c r="B210" s="21">
        <v>7.1999999999999998E-3</v>
      </c>
      <c r="C210" s="22">
        <f t="shared" si="5"/>
        <v>0</v>
      </c>
      <c r="D210" s="22">
        <f>SUM($B210:$B$1038)</f>
        <v>0.69530000000000025</v>
      </c>
    </row>
    <row r="211" spans="1:4">
      <c r="A211" s="23">
        <v>41609</v>
      </c>
      <c r="B211" s="21">
        <v>7.9000000000000008E-3</v>
      </c>
      <c r="C211" s="22">
        <f t="shared" si="5"/>
        <v>0</v>
      </c>
      <c r="D211" s="22">
        <f>SUM($B211:$B$1038)</f>
        <v>0.68810000000000027</v>
      </c>
    </row>
    <row r="212" spans="1:4">
      <c r="A212" s="20">
        <v>41640</v>
      </c>
      <c r="B212" s="21">
        <v>8.5000000000000006E-3</v>
      </c>
      <c r="C212" s="22">
        <f t="shared" si="5"/>
        <v>0</v>
      </c>
      <c r="D212" s="22">
        <f>SUM($B212:$B$1038)</f>
        <v>0.68020000000000025</v>
      </c>
    </row>
    <row r="213" spans="1:4">
      <c r="A213" s="23">
        <v>41671</v>
      </c>
      <c r="B213" s="24">
        <v>7.9000000000000008E-3</v>
      </c>
      <c r="C213" s="22">
        <f t="shared" ref="C213:C251" si="6">IF(EOMONTH($F$2,-60)&lt;A213,SUM(B214:B272),0)</f>
        <v>0</v>
      </c>
      <c r="D213" s="22">
        <f>SUM($B213:$B$1038)</f>
        <v>0.6717000000000003</v>
      </c>
    </row>
    <row r="214" spans="1:4">
      <c r="A214" s="23">
        <v>41699</v>
      </c>
      <c r="B214" s="24">
        <v>7.7000000000000002E-3</v>
      </c>
      <c r="C214" s="22">
        <f t="shared" si="6"/>
        <v>0</v>
      </c>
      <c r="D214" s="22">
        <f>SUM($B214:$B$1038)</f>
        <v>0.66380000000000028</v>
      </c>
    </row>
    <row r="215" spans="1:4">
      <c r="A215" s="23">
        <v>41730</v>
      </c>
      <c r="B215" s="24">
        <v>8.2000000000000007E-3</v>
      </c>
      <c r="C215" s="22">
        <f t="shared" si="6"/>
        <v>0</v>
      </c>
      <c r="D215" s="22">
        <f>SUM($B215:$B$1038)</f>
        <v>0.65610000000000024</v>
      </c>
    </row>
    <row r="216" spans="1:4">
      <c r="A216" s="23">
        <v>41760</v>
      </c>
      <c r="B216" s="24">
        <v>8.6999999999999994E-3</v>
      </c>
      <c r="C216" s="22">
        <f t="shared" si="6"/>
        <v>0</v>
      </c>
      <c r="D216" s="22">
        <f>SUM($B216:$B$1038)</f>
        <v>0.64790000000000025</v>
      </c>
    </row>
    <row r="217" spans="1:4">
      <c r="A217" s="23">
        <v>41791</v>
      </c>
      <c r="B217" s="24">
        <v>8.2000000000000007E-3</v>
      </c>
      <c r="C217" s="22">
        <f t="shared" si="6"/>
        <v>0</v>
      </c>
      <c r="D217" s="22">
        <f>SUM($B217:$B$1038)</f>
        <v>0.63920000000000032</v>
      </c>
    </row>
    <row r="218" spans="1:4">
      <c r="A218" s="23">
        <v>41821</v>
      </c>
      <c r="B218" s="24">
        <v>9.4999999999999998E-3</v>
      </c>
      <c r="C218" s="22">
        <f t="shared" si="6"/>
        <v>0</v>
      </c>
      <c r="D218" s="22">
        <f>SUM($B218:$B$1038)</f>
        <v>0.63100000000000034</v>
      </c>
    </row>
    <row r="219" spans="1:4">
      <c r="A219" s="23">
        <v>41852</v>
      </c>
      <c r="B219" s="24">
        <v>8.6999999999999994E-3</v>
      </c>
      <c r="C219" s="22">
        <f t="shared" si="6"/>
        <v>0</v>
      </c>
      <c r="D219" s="22">
        <f>SUM($B219:$B$1038)</f>
        <v>0.62150000000000016</v>
      </c>
    </row>
    <row r="220" spans="1:4">
      <c r="A220" s="23">
        <v>41883</v>
      </c>
      <c r="B220" s="24">
        <v>9.1000000000000004E-3</v>
      </c>
      <c r="C220" s="22">
        <f t="shared" si="6"/>
        <v>0</v>
      </c>
      <c r="D220" s="22">
        <f>SUM($B220:$B$1038)</f>
        <v>0.61280000000000023</v>
      </c>
    </row>
    <row r="221" spans="1:4">
      <c r="A221" s="23">
        <v>41913</v>
      </c>
      <c r="B221" s="24">
        <v>9.4999999999999998E-3</v>
      </c>
      <c r="C221" s="22">
        <f t="shared" si="6"/>
        <v>0</v>
      </c>
      <c r="D221" s="22">
        <f>SUM($B221:$B$1038)</f>
        <v>0.60370000000000024</v>
      </c>
    </row>
    <row r="222" spans="1:4">
      <c r="A222" s="23">
        <v>41944</v>
      </c>
      <c r="B222" s="24">
        <v>8.3999999999999995E-3</v>
      </c>
      <c r="C222" s="22">
        <f t="shared" si="6"/>
        <v>0</v>
      </c>
      <c r="D222" s="22">
        <f>SUM($B222:$B$1038)</f>
        <v>0.59420000000000017</v>
      </c>
    </row>
    <row r="223" spans="1:4">
      <c r="A223" s="23">
        <v>41974</v>
      </c>
      <c r="B223" s="24">
        <v>9.5999999999999992E-3</v>
      </c>
      <c r="C223" s="22">
        <f t="shared" si="6"/>
        <v>0</v>
      </c>
      <c r="D223" s="22">
        <f>SUM($B223:$B$1038)</f>
        <v>0.58580000000000032</v>
      </c>
    </row>
    <row r="224" spans="1:4">
      <c r="A224" s="23">
        <v>42005</v>
      </c>
      <c r="B224" s="24">
        <v>9.4000000000000004E-3</v>
      </c>
      <c r="C224" s="22">
        <f t="shared" si="6"/>
        <v>0</v>
      </c>
      <c r="D224" s="22">
        <f>SUM($B224:$B$1038)</f>
        <v>0.57620000000000005</v>
      </c>
    </row>
    <row r="225" spans="1:4">
      <c r="A225" s="23">
        <v>42036</v>
      </c>
      <c r="B225" s="24">
        <v>8.2000000000000007E-3</v>
      </c>
      <c r="C225" s="22">
        <f t="shared" si="6"/>
        <v>0</v>
      </c>
      <c r="D225" s="22">
        <f>SUM($B225:$B$1038)</f>
        <v>0.56680000000000008</v>
      </c>
    </row>
    <row r="226" spans="1:4">
      <c r="A226" s="23">
        <v>42064</v>
      </c>
      <c r="B226" s="24">
        <v>1.04E-2</v>
      </c>
      <c r="C226" s="22">
        <f t="shared" si="6"/>
        <v>0</v>
      </c>
      <c r="D226" s="22">
        <f>SUM($B226:$B$1038)</f>
        <v>0.55859999999999999</v>
      </c>
    </row>
    <row r="227" spans="1:4">
      <c r="A227" s="23">
        <v>42095</v>
      </c>
      <c r="B227" s="24">
        <v>9.4999999999999998E-3</v>
      </c>
      <c r="C227" s="22">
        <f t="shared" si="6"/>
        <v>0</v>
      </c>
      <c r="D227" s="22">
        <f>SUM($B227:$B$1038)</f>
        <v>0.54820000000000013</v>
      </c>
    </row>
    <row r="228" spans="1:4">
      <c r="A228" s="23">
        <v>42125</v>
      </c>
      <c r="B228" s="24">
        <v>9.9000000000000008E-3</v>
      </c>
      <c r="C228" s="22">
        <f t="shared" si="6"/>
        <v>0</v>
      </c>
      <c r="D228" s="22">
        <f>SUM($B228:$B$1038)</f>
        <v>0.53870000000000007</v>
      </c>
    </row>
    <row r="229" spans="1:4">
      <c r="A229" s="23">
        <v>42156</v>
      </c>
      <c r="B229" s="24">
        <v>1.0699999999999999E-2</v>
      </c>
      <c r="C229" s="22">
        <f t="shared" si="6"/>
        <v>0</v>
      </c>
      <c r="D229" s="22">
        <f>SUM($B229:$B$1038)</f>
        <v>0.52880000000000016</v>
      </c>
    </row>
    <row r="230" spans="1:4">
      <c r="A230" s="23">
        <v>42186</v>
      </c>
      <c r="B230" s="24">
        <v>1.18E-2</v>
      </c>
      <c r="C230" s="22">
        <f t="shared" si="6"/>
        <v>0</v>
      </c>
      <c r="D230" s="22">
        <f>SUM($B230:$B$1038)</f>
        <v>0.5181</v>
      </c>
    </row>
    <row r="231" spans="1:4">
      <c r="A231" s="23">
        <v>42217</v>
      </c>
      <c r="B231" s="24">
        <v>1.11E-2</v>
      </c>
      <c r="C231" s="22">
        <f t="shared" si="6"/>
        <v>0</v>
      </c>
      <c r="D231" s="22">
        <f>SUM($B231:$B$1038)</f>
        <v>0.50629999999999997</v>
      </c>
    </row>
    <row r="232" spans="1:4">
      <c r="A232" s="23">
        <v>42248</v>
      </c>
      <c r="B232" s="24">
        <v>1.11E-2</v>
      </c>
      <c r="C232" s="22">
        <f t="shared" si="6"/>
        <v>0</v>
      </c>
      <c r="D232" s="22">
        <f>SUM($B232:$B$1038)</f>
        <v>0.49519999999999997</v>
      </c>
    </row>
    <row r="233" spans="1:4">
      <c r="A233" s="23">
        <v>42278</v>
      </c>
      <c r="B233" s="24">
        <v>1.11E-2</v>
      </c>
      <c r="C233" s="22">
        <f t="shared" si="6"/>
        <v>0</v>
      </c>
      <c r="D233" s="22">
        <f>SUM($B233:$B$1038)</f>
        <v>0.48409999999999997</v>
      </c>
    </row>
    <row r="234" spans="1:4">
      <c r="A234" s="23">
        <v>42309</v>
      </c>
      <c r="B234" s="24">
        <v>1.06E-2</v>
      </c>
      <c r="C234" s="22">
        <f t="shared" si="6"/>
        <v>0</v>
      </c>
      <c r="D234" s="22">
        <f>SUM($B234:$B$1038)</f>
        <v>0.47299999999999998</v>
      </c>
    </row>
    <row r="235" spans="1:4">
      <c r="A235" s="23">
        <v>42339</v>
      </c>
      <c r="B235" s="24">
        <v>1.1599999999999999E-2</v>
      </c>
      <c r="C235" s="22">
        <f t="shared" si="6"/>
        <v>0</v>
      </c>
      <c r="D235" s="22">
        <f>SUM($B235:$B$1038)</f>
        <v>0.46239999999999998</v>
      </c>
    </row>
    <row r="236" spans="1:4">
      <c r="A236" s="23">
        <v>42370</v>
      </c>
      <c r="B236" s="24">
        <v>1.06E-2</v>
      </c>
      <c r="C236" s="22">
        <f t="shared" si="6"/>
        <v>0</v>
      </c>
      <c r="D236" s="22">
        <f>SUM($B236:$B$1038)</f>
        <v>0.45079999999999998</v>
      </c>
    </row>
    <row r="237" spans="1:4">
      <c r="A237" s="23">
        <v>42401</v>
      </c>
      <c r="B237" s="24">
        <v>0.01</v>
      </c>
      <c r="C237" s="22">
        <f t="shared" si="6"/>
        <v>0</v>
      </c>
      <c r="D237" s="22">
        <f>SUM($B237:$B$1038)</f>
        <v>0.44020000000000009</v>
      </c>
    </row>
    <row r="238" spans="1:4">
      <c r="A238" s="23">
        <v>42430</v>
      </c>
      <c r="B238" s="24">
        <v>1.1599999999999999E-2</v>
      </c>
      <c r="C238" s="22">
        <f t="shared" si="6"/>
        <v>0</v>
      </c>
      <c r="D238" s="22">
        <f>SUM($B238:$B$1038)</f>
        <v>0.43020000000000008</v>
      </c>
    </row>
    <row r="239" spans="1:4">
      <c r="A239" s="23">
        <v>42461</v>
      </c>
      <c r="B239" s="24">
        <v>1.06E-2</v>
      </c>
      <c r="C239" s="22">
        <f t="shared" si="6"/>
        <v>0</v>
      </c>
      <c r="D239" s="22">
        <f>SUM($B239:$B$1038)</f>
        <v>0.41860000000000003</v>
      </c>
    </row>
    <row r="240" spans="1:4">
      <c r="A240" s="23">
        <v>42491</v>
      </c>
      <c r="B240" s="24">
        <v>1.11E-2</v>
      </c>
      <c r="C240" s="22">
        <f t="shared" si="6"/>
        <v>0</v>
      </c>
      <c r="D240" s="22">
        <f>SUM($B240:$B$1038)</f>
        <v>0.40799999999999997</v>
      </c>
    </row>
    <row r="241" spans="1:4">
      <c r="A241" s="23">
        <v>42522</v>
      </c>
      <c r="B241" s="24">
        <v>1.1599999999999999E-2</v>
      </c>
      <c r="C241" s="22">
        <f t="shared" si="6"/>
        <v>0</v>
      </c>
      <c r="D241" s="22">
        <f>SUM($B241:$B$1038)</f>
        <v>0.39689999999999998</v>
      </c>
    </row>
    <row r="242" spans="1:4">
      <c r="A242" s="23">
        <v>42552</v>
      </c>
      <c r="B242" s="24">
        <v>1.11E-2</v>
      </c>
      <c r="C242" s="22">
        <f t="shared" si="6"/>
        <v>0</v>
      </c>
      <c r="D242" s="22">
        <f>SUM($B242:$B$1038)</f>
        <v>0.38529999999999998</v>
      </c>
    </row>
    <row r="243" spans="1:4">
      <c r="A243" s="23">
        <v>42583</v>
      </c>
      <c r="B243" s="24">
        <v>1.2200000000000001E-2</v>
      </c>
      <c r="C243" s="22">
        <f t="shared" si="6"/>
        <v>0</v>
      </c>
      <c r="D243" s="22">
        <f>SUM($B243:$B$1038)</f>
        <v>0.37420000000000003</v>
      </c>
    </row>
    <row r="244" spans="1:4">
      <c r="A244" s="23">
        <v>42614</v>
      </c>
      <c r="B244" s="24">
        <v>1.11E-2</v>
      </c>
      <c r="C244" s="22">
        <f t="shared" si="6"/>
        <v>0</v>
      </c>
      <c r="D244" s="22">
        <f>SUM($B244:$B$1038)</f>
        <v>0.36200000000000004</v>
      </c>
    </row>
    <row r="245" spans="1:4">
      <c r="A245" s="23">
        <v>42644</v>
      </c>
      <c r="B245" s="24">
        <v>1.0500000000000001E-2</v>
      </c>
      <c r="C245" s="22">
        <f t="shared" si="6"/>
        <v>0</v>
      </c>
      <c r="D245" s="22">
        <f>SUM($B245:$B$1038)</f>
        <v>0.35090000000000005</v>
      </c>
    </row>
    <row r="246" spans="1:4">
      <c r="A246" s="23">
        <v>42675</v>
      </c>
      <c r="B246" s="24">
        <v>1.04E-2</v>
      </c>
      <c r="C246" s="22">
        <f t="shared" si="6"/>
        <v>0</v>
      </c>
      <c r="D246" s="22">
        <f>SUM($B246:$B$1038)</f>
        <v>0.34039999999999992</v>
      </c>
    </row>
    <row r="247" spans="1:4">
      <c r="A247" s="23">
        <v>42705</v>
      </c>
      <c r="B247" s="24">
        <v>1.12E-2</v>
      </c>
      <c r="C247" s="22">
        <f t="shared" si="6"/>
        <v>0</v>
      </c>
      <c r="D247" s="22">
        <f>SUM($B247:$B$1038)</f>
        <v>0.3299999999999999</v>
      </c>
    </row>
    <row r="248" spans="1:4">
      <c r="A248" s="23">
        <v>42736</v>
      </c>
      <c r="B248" s="24">
        <v>1.09E-2</v>
      </c>
      <c r="C248" s="22">
        <f t="shared" si="6"/>
        <v>0</v>
      </c>
      <c r="D248" s="22">
        <f>SUM($B248:$B$1038)</f>
        <v>0.31879999999999992</v>
      </c>
    </row>
    <row r="249" spans="1:4">
      <c r="A249" s="23">
        <v>42767</v>
      </c>
      <c r="B249" s="24">
        <v>8.6999999999999994E-3</v>
      </c>
      <c r="C249" s="22">
        <f t="shared" si="6"/>
        <v>0</v>
      </c>
      <c r="D249" s="22">
        <f>SUM($B249:$B$1038)</f>
        <v>0.3078999999999999</v>
      </c>
    </row>
    <row r="250" spans="1:4">
      <c r="A250" s="23">
        <v>42795</v>
      </c>
      <c r="B250" s="24">
        <v>1.0500000000000001E-2</v>
      </c>
      <c r="C250" s="22">
        <f t="shared" si="6"/>
        <v>0</v>
      </c>
      <c r="D250" s="22">
        <f>SUM($B250:$B$1038)</f>
        <v>0.2991999999999998</v>
      </c>
    </row>
    <row r="251" spans="1:4">
      <c r="A251" s="23">
        <v>42826</v>
      </c>
      <c r="B251" s="24">
        <v>7.9000000000000008E-3</v>
      </c>
      <c r="C251" s="22">
        <f t="shared" si="6"/>
        <v>0</v>
      </c>
      <c r="D251" s="22">
        <f>SUM($B251:$B$1038)</f>
        <v>0.28869999999999979</v>
      </c>
    </row>
    <row r="252" spans="1:4">
      <c r="A252" s="23">
        <v>42856</v>
      </c>
      <c r="B252" s="24">
        <v>9.2999999999999992E-3</v>
      </c>
      <c r="C252" s="22">
        <f>IF(EOMONTH($F$2,-60)&lt;A252,SUM(B253:B310),0)</f>
        <v>0.26319999999999993</v>
      </c>
      <c r="D252" s="22">
        <f>SUM($B252:$B$1038)</f>
        <v>0.28079999999999988</v>
      </c>
    </row>
    <row r="253" spans="1:4">
      <c r="A253" s="23">
        <v>42887</v>
      </c>
      <c r="B253" s="24">
        <v>8.0999999999999996E-3</v>
      </c>
      <c r="C253" s="22">
        <f>IF(EOMONTH($F$2,-60)&lt;A253,SUM(B254:B310),0)</f>
        <v>0.25509999999999988</v>
      </c>
      <c r="D253" s="22">
        <f>SUM($B253:$B$1038)</f>
        <v>0.27149999999999991</v>
      </c>
    </row>
    <row r="254" spans="1:4">
      <c r="A254" s="23">
        <v>42917</v>
      </c>
      <c r="B254" s="24">
        <v>8.0000000000000002E-3</v>
      </c>
      <c r="C254" s="22">
        <f>IF(EOMONTH($F$2,-60)&lt;A254,SUM(B255:B310),0)</f>
        <v>0.2470999999999999</v>
      </c>
      <c r="D254" s="22">
        <f>SUM($B254:$B$1038)</f>
        <v>0.26339999999999986</v>
      </c>
    </row>
    <row r="255" spans="1:4">
      <c r="A255" s="23">
        <v>42948</v>
      </c>
      <c r="B255" s="24">
        <v>8.0000000000000002E-3</v>
      </c>
      <c r="C255" s="22">
        <f>IF(EOMONTH($F$2,-60)&lt;A255,SUM(B256:B310),0)</f>
        <v>0.2390999999999999</v>
      </c>
      <c r="D255" s="22">
        <f>SUM($B255:$B$1038)</f>
        <v>0.2553999999999999</v>
      </c>
    </row>
    <row r="256" spans="1:4">
      <c r="A256" s="23">
        <v>42979</v>
      </c>
      <c r="B256" s="24">
        <v>6.4000000000000003E-3</v>
      </c>
      <c r="C256" s="22">
        <f>IF(EOMONTH($F$2,-60)&lt;A256,SUM(B257:B310),0)</f>
        <v>0.23269999999999993</v>
      </c>
      <c r="D256" s="22">
        <f>SUM($B256:$B$1038)</f>
        <v>0.2473999999999999</v>
      </c>
    </row>
    <row r="257" spans="1:4">
      <c r="A257" s="23">
        <v>43009</v>
      </c>
      <c r="B257" s="24">
        <v>6.4000000000000003E-3</v>
      </c>
      <c r="C257" s="22">
        <f>IF(EOMONTH($F$2,-60)&lt;A257,SUM(B258:B310),0)</f>
        <v>0.22629999999999992</v>
      </c>
      <c r="D257" s="22">
        <f>SUM($B257:$B$1038)</f>
        <v>0.24099999999999994</v>
      </c>
    </row>
    <row r="258" spans="1:4">
      <c r="A258" s="23">
        <v>43040</v>
      </c>
      <c r="B258" s="24">
        <v>5.7000000000000002E-3</v>
      </c>
      <c r="C258" s="22">
        <f>IF(EOMONTH($F$2,-60)&lt;A258,SUM(B259:B310),0)</f>
        <v>0.22059999999999994</v>
      </c>
      <c r="D258" s="22">
        <f>SUM($B258:$B$1038)</f>
        <v>0.23459999999999992</v>
      </c>
    </row>
    <row r="259" spans="1:4">
      <c r="A259" s="23">
        <v>43070</v>
      </c>
      <c r="B259" s="24">
        <v>5.4000000000000003E-3</v>
      </c>
      <c r="C259" s="22">
        <f>IF(EOMONTH($F$2,-60)&lt;A259,SUM(B260:B310),0)</f>
        <v>0.21519999999999989</v>
      </c>
      <c r="D259" s="22">
        <f>SUM($B259:$B$1038)</f>
        <v>0.22889999999999994</v>
      </c>
    </row>
    <row r="260" spans="1:4">
      <c r="A260" s="23">
        <v>43101</v>
      </c>
      <c r="B260" s="24">
        <v>5.7999999999999996E-3</v>
      </c>
      <c r="C260" s="22">
        <f t="shared" ref="C260:C291" si="7">IF(EOMONTH($F$2,-60)&lt;A260,SUM(B261:B310),0)</f>
        <v>0.20939999999999992</v>
      </c>
      <c r="D260" s="22">
        <f>SUM($B260:$B$1038)</f>
        <v>0.22349999999999989</v>
      </c>
    </row>
    <row r="261" spans="1:4">
      <c r="A261" s="23">
        <v>43132</v>
      </c>
      <c r="B261" s="24">
        <v>4.7000000000000002E-3</v>
      </c>
      <c r="C261" s="22">
        <f t="shared" si="7"/>
        <v>0.21299999999999991</v>
      </c>
      <c r="D261" s="22">
        <f>SUM($B261:$B$1038)</f>
        <v>0.21769999999999992</v>
      </c>
    </row>
    <row r="262" spans="1:4">
      <c r="A262" s="23">
        <v>43160</v>
      </c>
      <c r="B262" s="24">
        <v>5.3E-3</v>
      </c>
      <c r="C262" s="22">
        <f t="shared" si="7"/>
        <v>0.20769999999999991</v>
      </c>
      <c r="D262" s="22">
        <f>SUM($B262:$B$1038)</f>
        <v>0.21299999999999991</v>
      </c>
    </row>
    <row r="263" spans="1:4">
      <c r="A263" s="23">
        <v>43191</v>
      </c>
      <c r="B263" s="24">
        <v>5.1999999999999998E-3</v>
      </c>
      <c r="C263" s="22">
        <f t="shared" si="7"/>
        <v>0.20249999999999999</v>
      </c>
      <c r="D263" s="22">
        <f>SUM($B263:$B$1038)</f>
        <v>0.20769999999999991</v>
      </c>
    </row>
    <row r="264" spans="1:4">
      <c r="A264" s="23">
        <v>43221</v>
      </c>
      <c r="B264" s="24">
        <v>5.1999999999999998E-3</v>
      </c>
      <c r="C264" s="22">
        <f t="shared" si="7"/>
        <v>0.19729999999999998</v>
      </c>
      <c r="D264" s="22">
        <f>SUM($B264:$B$1038)</f>
        <v>0.20249999999999999</v>
      </c>
    </row>
    <row r="265" spans="1:4">
      <c r="A265" s="23">
        <v>43252</v>
      </c>
      <c r="B265" s="24">
        <v>5.1999999999999998E-3</v>
      </c>
      <c r="C265" s="22">
        <f t="shared" si="7"/>
        <v>0.19209999999999999</v>
      </c>
      <c r="D265" s="22">
        <f>SUM($B265:$B$1038)</f>
        <v>0.19729999999999998</v>
      </c>
    </row>
    <row r="266" spans="1:4">
      <c r="A266" s="23">
        <v>43282</v>
      </c>
      <c r="B266" s="24">
        <v>5.4000000000000003E-3</v>
      </c>
      <c r="C266" s="22">
        <f t="shared" si="7"/>
        <v>0.1867</v>
      </c>
      <c r="D266" s="22">
        <f>SUM($B266:$B$1038)</f>
        <v>0.19209999999999999</v>
      </c>
    </row>
    <row r="267" spans="1:4">
      <c r="A267" s="23">
        <v>43313</v>
      </c>
      <c r="B267" s="24">
        <v>5.7000000000000002E-3</v>
      </c>
      <c r="C267" s="22">
        <f t="shared" si="7"/>
        <v>0.18100000000000002</v>
      </c>
      <c r="D267" s="22">
        <f>SUM($B267:$B$1038)</f>
        <v>0.1867</v>
      </c>
    </row>
    <row r="268" spans="1:4">
      <c r="A268" s="23">
        <v>43344</v>
      </c>
      <c r="B268" s="24">
        <v>4.7000000000000002E-3</v>
      </c>
      <c r="C268" s="22">
        <f t="shared" si="7"/>
        <v>0.17630000000000001</v>
      </c>
      <c r="D268" s="22">
        <f>SUM($B268:$B$1038)</f>
        <v>0.18100000000000002</v>
      </c>
    </row>
    <row r="269" spans="1:4">
      <c r="A269" s="23">
        <v>43374</v>
      </c>
      <c r="B269" s="24">
        <v>5.4000000000000003E-3</v>
      </c>
      <c r="C269" s="22">
        <f t="shared" si="7"/>
        <v>0.17090000000000002</v>
      </c>
      <c r="D269" s="22">
        <f>SUM($B269:$B$1038)</f>
        <v>0.17630000000000001</v>
      </c>
    </row>
    <row r="270" spans="1:4">
      <c r="A270" s="23">
        <v>43405</v>
      </c>
      <c r="B270" s="24">
        <v>4.8999999999999998E-3</v>
      </c>
      <c r="C270" s="22">
        <f t="shared" si="7"/>
        <v>0.16600000000000004</v>
      </c>
      <c r="D270" s="22">
        <f>SUM($B270:$B$1038)</f>
        <v>0.17090000000000002</v>
      </c>
    </row>
    <row r="271" spans="1:4">
      <c r="A271" s="23">
        <v>43435</v>
      </c>
      <c r="B271" s="24">
        <v>4.8999999999999998E-3</v>
      </c>
      <c r="C271" s="22">
        <f t="shared" si="7"/>
        <v>0.16110000000000002</v>
      </c>
      <c r="D271" s="22">
        <f>SUM($B271:$B$1038)</f>
        <v>0.16600000000000004</v>
      </c>
    </row>
    <row r="272" spans="1:4">
      <c r="A272" s="23">
        <v>43466</v>
      </c>
      <c r="B272" s="24">
        <v>5.4000000000000003E-3</v>
      </c>
      <c r="C272" s="22">
        <f t="shared" si="7"/>
        <v>0.15570000000000001</v>
      </c>
      <c r="D272" s="22">
        <f>SUM($B272:$B$1038)</f>
        <v>0.16110000000000002</v>
      </c>
    </row>
    <row r="273" spans="1:4">
      <c r="A273" s="23">
        <v>43497</v>
      </c>
      <c r="B273" s="24">
        <v>4.8999999999999998E-3</v>
      </c>
      <c r="C273" s="22">
        <f t="shared" si="7"/>
        <v>0.15080000000000002</v>
      </c>
      <c r="D273" s="22">
        <f>SUM($B273:$B$1038)</f>
        <v>0.15570000000000001</v>
      </c>
    </row>
    <row r="274" spans="1:4">
      <c r="A274" s="23">
        <v>43525</v>
      </c>
      <c r="B274" s="24">
        <v>4.7000000000000002E-3</v>
      </c>
      <c r="C274" s="22">
        <f t="shared" si="7"/>
        <v>0.14610000000000004</v>
      </c>
      <c r="D274" s="22">
        <f>SUM($B274:$B$1038)</f>
        <v>0.15080000000000002</v>
      </c>
    </row>
    <row r="275" spans="1:4">
      <c r="A275" s="23">
        <v>43556</v>
      </c>
      <c r="B275" s="24">
        <v>5.1999999999999998E-3</v>
      </c>
      <c r="C275" s="22">
        <f t="shared" si="7"/>
        <v>0.1409</v>
      </c>
      <c r="D275" s="22">
        <f>SUM($B275:$B$1038)</f>
        <v>0.14610000000000004</v>
      </c>
    </row>
    <row r="276" spans="1:4">
      <c r="A276" s="23">
        <v>43586</v>
      </c>
      <c r="B276" s="24">
        <v>5.4000000000000003E-3</v>
      </c>
      <c r="C276" s="22">
        <f t="shared" si="7"/>
        <v>0.13549999999999998</v>
      </c>
      <c r="D276" s="22">
        <f>SUM($B276:$B$1038)</f>
        <v>0.1409</v>
      </c>
    </row>
    <row r="277" spans="1:4">
      <c r="A277" s="23">
        <v>43617</v>
      </c>
      <c r="B277" s="24">
        <v>4.7000000000000002E-3</v>
      </c>
      <c r="C277" s="22">
        <f t="shared" si="7"/>
        <v>0.1308</v>
      </c>
      <c r="D277" s="22">
        <f>SUM($B277:$B$1038)</f>
        <v>0.13549999999999998</v>
      </c>
    </row>
    <row r="278" spans="1:4">
      <c r="A278" s="23">
        <v>43647</v>
      </c>
      <c r="B278" s="24">
        <v>5.7000000000000002E-3</v>
      </c>
      <c r="C278" s="22">
        <f t="shared" si="7"/>
        <v>0.12509999999999999</v>
      </c>
      <c r="D278" s="22">
        <f>SUM($B278:$B$1038)</f>
        <v>0.1308</v>
      </c>
    </row>
    <row r="279" spans="1:4">
      <c r="A279" s="23">
        <v>43678</v>
      </c>
      <c r="B279" s="24">
        <v>5.0000000000000001E-3</v>
      </c>
      <c r="C279" s="22">
        <f t="shared" si="7"/>
        <v>0.1201</v>
      </c>
      <c r="D279" s="22">
        <f>SUM($B279:$B$1038)</f>
        <v>0.12509999999999999</v>
      </c>
    </row>
    <row r="280" spans="1:4">
      <c r="A280" s="23">
        <v>43709</v>
      </c>
      <c r="B280" s="24">
        <v>4.5999999999999999E-3</v>
      </c>
      <c r="C280" s="22">
        <f t="shared" si="7"/>
        <v>0.11549999999999999</v>
      </c>
      <c r="D280" s="22">
        <f>SUM($B280:$B$1038)</f>
        <v>0.1201</v>
      </c>
    </row>
    <row r="281" spans="1:4">
      <c r="A281" s="23">
        <v>43739</v>
      </c>
      <c r="B281" s="24">
        <v>4.7999999999999996E-3</v>
      </c>
      <c r="C281" s="22">
        <f t="shared" si="7"/>
        <v>0.11069999999999999</v>
      </c>
      <c r="D281" s="22">
        <f>SUM($B281:$B$1038)</f>
        <v>0.11549999999999999</v>
      </c>
    </row>
    <row r="282" spans="1:4">
      <c r="A282" s="23">
        <v>43770</v>
      </c>
      <c r="B282" s="24">
        <v>3.8E-3</v>
      </c>
      <c r="C282" s="22">
        <f t="shared" si="7"/>
        <v>0.10690000000000001</v>
      </c>
      <c r="D282" s="22">
        <f>SUM($B282:$B$1038)</f>
        <v>0.11069999999999999</v>
      </c>
    </row>
    <row r="283" spans="1:4">
      <c r="A283" s="23">
        <v>43800</v>
      </c>
      <c r="B283" s="24">
        <v>3.7000000000000002E-3</v>
      </c>
      <c r="C283" s="22">
        <f t="shared" si="7"/>
        <v>0.1032</v>
      </c>
      <c r="D283" s="22">
        <f>SUM($B283:$B$1038)</f>
        <v>0.10690000000000001</v>
      </c>
    </row>
    <row r="284" spans="1:4">
      <c r="A284" s="23">
        <v>43831</v>
      </c>
      <c r="B284" s="24">
        <v>3.8E-3</v>
      </c>
      <c r="C284" s="22">
        <f t="shared" si="7"/>
        <v>9.9400000000000002E-2</v>
      </c>
      <c r="D284" s="22">
        <f>SUM($B284:$B$1038)</f>
        <v>0.1032</v>
      </c>
    </row>
    <row r="285" spans="1:4">
      <c r="A285" s="23">
        <v>43862</v>
      </c>
      <c r="B285" s="24">
        <v>2.8999999999999998E-3</v>
      </c>
      <c r="C285" s="22">
        <f t="shared" si="7"/>
        <v>9.6500000000000016E-2</v>
      </c>
      <c r="D285" s="22">
        <f>SUM($B285:$B$1038)</f>
        <v>9.9400000000000002E-2</v>
      </c>
    </row>
    <row r="286" spans="1:4">
      <c r="A286" s="23">
        <v>43891</v>
      </c>
      <c r="B286" s="24">
        <v>3.3999999999999998E-3</v>
      </c>
      <c r="C286" s="22">
        <f t="shared" si="7"/>
        <v>9.3100000000000002E-2</v>
      </c>
      <c r="D286" s="22">
        <f>SUM($B286:$B$1038)</f>
        <v>9.6500000000000016E-2</v>
      </c>
    </row>
    <row r="287" spans="1:4">
      <c r="A287" s="23">
        <v>43922</v>
      </c>
      <c r="B287" s="24">
        <v>2.8E-3</v>
      </c>
      <c r="C287" s="22">
        <f t="shared" si="7"/>
        <v>9.0300000000000005E-2</v>
      </c>
      <c r="D287" s="22">
        <f>SUM($B287:$B$1038)</f>
        <v>9.3100000000000002E-2</v>
      </c>
    </row>
    <row r="288" spans="1:4">
      <c r="A288" s="23">
        <v>43952</v>
      </c>
      <c r="B288" s="24">
        <v>2.3999999999999998E-3</v>
      </c>
      <c r="C288" s="22">
        <f t="shared" si="7"/>
        <v>8.7900000000000006E-2</v>
      </c>
      <c r="D288" s="22">
        <f>SUM($B288:$B$1038)</f>
        <v>9.0300000000000005E-2</v>
      </c>
    </row>
    <row r="289" spans="1:4">
      <c r="A289" s="23">
        <v>43983</v>
      </c>
      <c r="B289" s="24">
        <v>2.0999999999999999E-3</v>
      </c>
      <c r="C289" s="22">
        <f t="shared" si="7"/>
        <v>8.5800000000000001E-2</v>
      </c>
      <c r="D289" s="22">
        <f>SUM($B289:$B$1038)</f>
        <v>8.7900000000000006E-2</v>
      </c>
    </row>
    <row r="290" spans="1:4">
      <c r="A290" s="23">
        <v>44013</v>
      </c>
      <c r="B290" s="24">
        <v>1.9E-3</v>
      </c>
      <c r="C290" s="22">
        <f t="shared" si="7"/>
        <v>8.3900000000000002E-2</v>
      </c>
      <c r="D290" s="22">
        <f>SUM($B290:$B$1038)</f>
        <v>8.5800000000000001E-2</v>
      </c>
    </row>
    <row r="291" spans="1:4">
      <c r="A291" s="23">
        <v>44044</v>
      </c>
      <c r="B291" s="24">
        <v>1.6000000000000001E-3</v>
      </c>
      <c r="C291" s="22">
        <f t="shared" si="7"/>
        <v>8.2300000000000012E-2</v>
      </c>
      <c r="D291" s="22">
        <f>SUM($B291:$B$1038)</f>
        <v>8.3900000000000002E-2</v>
      </c>
    </row>
    <row r="292" spans="1:4">
      <c r="A292" s="23">
        <v>44075</v>
      </c>
      <c r="B292" s="24">
        <v>1.6000000000000001E-3</v>
      </c>
      <c r="C292" s="22">
        <f t="shared" ref="C292:C310" si="8">IF(EOMONTH($F$2,-60)&lt;A292,SUM(B293:B342),0)</f>
        <v>8.0700000000000008E-2</v>
      </c>
      <c r="D292" s="22">
        <f>SUM($B292:$B$1038)</f>
        <v>8.2300000000000012E-2</v>
      </c>
    </row>
    <row r="293" spans="1:4">
      <c r="A293" s="23">
        <v>44105</v>
      </c>
      <c r="B293" s="24">
        <v>1.6000000000000001E-3</v>
      </c>
      <c r="C293" s="22">
        <f t="shared" si="8"/>
        <v>7.9100000000000004E-2</v>
      </c>
      <c r="D293" s="22">
        <f>SUM($B293:$B$1038)</f>
        <v>8.0700000000000008E-2</v>
      </c>
    </row>
    <row r="294" spans="1:4">
      <c r="A294" s="23">
        <v>44136</v>
      </c>
      <c r="B294" s="24">
        <v>1.5E-3</v>
      </c>
      <c r="C294" s="22">
        <f t="shared" si="8"/>
        <v>7.7600000000000016E-2</v>
      </c>
      <c r="D294" s="22">
        <f>SUM($B294:$B$1038)</f>
        <v>7.9100000000000004E-2</v>
      </c>
    </row>
    <row r="295" spans="1:4">
      <c r="A295" s="23">
        <v>44166</v>
      </c>
      <c r="B295" s="24">
        <v>1.6000000000000001E-3</v>
      </c>
      <c r="C295" s="22">
        <f t="shared" si="8"/>
        <v>7.6000000000000012E-2</v>
      </c>
      <c r="D295" s="22">
        <f>SUM($B295:$B$1038)</f>
        <v>7.7600000000000016E-2</v>
      </c>
    </row>
    <row r="296" spans="1:4">
      <c r="A296" s="23">
        <v>44197</v>
      </c>
      <c r="B296" s="24">
        <v>1.5E-3</v>
      </c>
      <c r="C296" s="22">
        <f t="shared" si="8"/>
        <v>7.4500000000000011E-2</v>
      </c>
      <c r="D296" s="22">
        <f>SUM($B296:$B$1038)</f>
        <v>7.6000000000000012E-2</v>
      </c>
    </row>
    <row r="297" spans="1:4">
      <c r="A297" s="23">
        <v>44228</v>
      </c>
      <c r="B297" s="24">
        <v>1.2999999999999999E-3</v>
      </c>
      <c r="C297" s="22">
        <f t="shared" si="8"/>
        <v>7.3200000000000001E-2</v>
      </c>
      <c r="D297" s="22">
        <f>SUM($B297:$B$1038)</f>
        <v>7.4500000000000011E-2</v>
      </c>
    </row>
    <row r="298" spans="1:4">
      <c r="A298" s="23">
        <v>44256</v>
      </c>
      <c r="B298" s="24">
        <v>2E-3</v>
      </c>
      <c r="C298" s="22">
        <f t="shared" si="8"/>
        <v>7.1200000000000013E-2</v>
      </c>
      <c r="D298" s="22">
        <f>SUM($B298:$B$1038)</f>
        <v>7.3200000000000001E-2</v>
      </c>
    </row>
    <row r="299" spans="1:4">
      <c r="A299" s="23">
        <v>44287</v>
      </c>
      <c r="B299" s="24">
        <v>2.0999999999999999E-3</v>
      </c>
      <c r="C299" s="22">
        <f t="shared" si="8"/>
        <v>6.9100000000000009E-2</v>
      </c>
      <c r="D299" s="22">
        <f>SUM($B299:$B$1038)</f>
        <v>7.1200000000000013E-2</v>
      </c>
    </row>
    <row r="300" spans="1:4">
      <c r="A300" s="23">
        <v>44317</v>
      </c>
      <c r="B300" s="24">
        <v>2.7000000000000001E-3</v>
      </c>
      <c r="C300" s="22">
        <f t="shared" si="8"/>
        <v>6.6400000000000001E-2</v>
      </c>
      <c r="D300" s="22">
        <f>SUM($B300:$B$1038)</f>
        <v>6.9100000000000009E-2</v>
      </c>
    </row>
    <row r="301" spans="1:4">
      <c r="A301" s="23">
        <v>44348</v>
      </c>
      <c r="B301" s="24">
        <v>3.0999999999999999E-3</v>
      </c>
      <c r="C301" s="22">
        <f t="shared" si="8"/>
        <v>6.3300000000000009E-2</v>
      </c>
      <c r="D301" s="22">
        <f>SUM($B301:$B$1038)</f>
        <v>6.6400000000000001E-2</v>
      </c>
    </row>
    <row r="302" spans="1:4">
      <c r="A302" s="23">
        <v>44378</v>
      </c>
      <c r="B302" s="24">
        <v>3.5999999999999999E-3</v>
      </c>
      <c r="C302" s="22">
        <f t="shared" si="8"/>
        <v>5.9700000000000003E-2</v>
      </c>
      <c r="D302" s="22">
        <f>SUM($B302:$B$1038)</f>
        <v>6.3300000000000009E-2</v>
      </c>
    </row>
    <row r="303" spans="1:4">
      <c r="A303" s="23">
        <v>44409</v>
      </c>
      <c r="B303" s="24">
        <v>4.3E-3</v>
      </c>
      <c r="C303" s="22">
        <f t="shared" si="8"/>
        <v>5.5400000000000005E-2</v>
      </c>
      <c r="D303" s="22">
        <f>SUM($B303:$B$1038)</f>
        <v>5.9700000000000003E-2</v>
      </c>
    </row>
    <row r="304" spans="1:4">
      <c r="A304" s="23">
        <v>44440</v>
      </c>
      <c r="B304" s="24">
        <v>4.4000000000000003E-3</v>
      </c>
      <c r="C304" s="22">
        <f t="shared" si="8"/>
        <v>5.1000000000000004E-2</v>
      </c>
      <c r="D304" s="22">
        <f>SUM($B304:$B$1038)</f>
        <v>5.5400000000000005E-2</v>
      </c>
    </row>
    <row r="305" spans="1:4">
      <c r="A305" s="23">
        <v>44470</v>
      </c>
      <c r="B305" s="24">
        <v>4.8999999999999998E-3</v>
      </c>
      <c r="C305" s="22">
        <f t="shared" si="8"/>
        <v>4.6100000000000002E-2</v>
      </c>
      <c r="D305" s="22">
        <f>SUM($B305:$B$1038)</f>
        <v>5.1000000000000004E-2</v>
      </c>
    </row>
    <row r="306" spans="1:4">
      <c r="A306" s="23">
        <v>44501</v>
      </c>
      <c r="B306" s="24">
        <v>5.8999999999999999E-3</v>
      </c>
      <c r="C306" s="22">
        <f t="shared" si="8"/>
        <v>4.02E-2</v>
      </c>
      <c r="D306" s="22">
        <f>SUM($B306:$B$1038)</f>
        <v>4.6100000000000002E-2</v>
      </c>
    </row>
    <row r="307" spans="1:4">
      <c r="A307" s="23">
        <v>44531</v>
      </c>
      <c r="B307" s="24">
        <v>7.7000000000000002E-3</v>
      </c>
      <c r="C307" s="22">
        <f t="shared" si="8"/>
        <v>3.2500000000000001E-2</v>
      </c>
      <c r="D307" s="22">
        <f>SUM($B307:$B$1038)</f>
        <v>4.02E-2</v>
      </c>
    </row>
    <row r="308" spans="1:4">
      <c r="A308" s="23">
        <v>44562</v>
      </c>
      <c r="B308" s="24">
        <v>7.3000000000000001E-3</v>
      </c>
      <c r="C308" s="22">
        <f t="shared" si="8"/>
        <v>2.52E-2</v>
      </c>
      <c r="D308" s="22">
        <f>SUM($B308:$B$1038)</f>
        <v>3.2500000000000001E-2</v>
      </c>
    </row>
    <row r="309" spans="1:4">
      <c r="A309" s="23">
        <v>44593</v>
      </c>
      <c r="B309" s="24">
        <v>7.6E-3</v>
      </c>
      <c r="C309" s="22">
        <f t="shared" si="8"/>
        <v>1.7599999999999998E-2</v>
      </c>
      <c r="D309" s="22">
        <f>SUM($B309:$B$1038)</f>
        <v>2.52E-2</v>
      </c>
    </row>
    <row r="310" spans="1:4">
      <c r="A310" s="23">
        <v>44621</v>
      </c>
      <c r="B310" s="24">
        <v>9.2999999999999992E-3</v>
      </c>
      <c r="C310" s="22">
        <f t="shared" si="8"/>
        <v>8.3000000000000001E-3</v>
      </c>
      <c r="D310" s="22">
        <f>SUM($B310:$B$1038)</f>
        <v>1.7599999999999998E-2</v>
      </c>
    </row>
    <row r="311" spans="1:4">
      <c r="A311" s="23">
        <v>44652</v>
      </c>
      <c r="B311" s="24">
        <v>8.3000000000000001E-3</v>
      </c>
      <c r="C311" s="22">
        <f>IF(EOMONTH($F$2,-60)&lt;A311,SUM(B312:B361),0)</f>
        <v>0</v>
      </c>
      <c r="D311" s="22">
        <f>SUM($B311:$B$1038)</f>
        <v>8.3000000000000001E-3</v>
      </c>
    </row>
  </sheetData>
  <conditionalFormatting sqref="A8:D1038">
    <cfRule type="expression" dxfId="1" priority="1">
      <formula>ISEVEN(YEAR($A8))=TRUE</formula>
    </cfRule>
    <cfRule type="expression" dxfId="0" priority="2">
      <formula>ISODD(YEAR($A8))=TRUE</formula>
    </cfRule>
  </conditionalFormatting>
  <pageMargins left="0.511811024" right="0.511811024" top="0.78740157499999996" bottom="0.78740157499999996" header="0.31496062000000002" footer="0.31496062000000002"/>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7217D-1806-44E1-B39E-32407C5FBB47}">
  <dimension ref="A1:G58"/>
  <sheetViews>
    <sheetView topLeftCell="A13" workbookViewId="0">
      <selection activeCell="H25" sqref="H25"/>
    </sheetView>
  </sheetViews>
  <sheetFormatPr defaultRowHeight="14.5"/>
  <cols>
    <col min="1" max="1" width="9.1796875" style="168"/>
    <col min="2" max="3" width="10.7265625" style="168" bestFit="1" customWidth="1"/>
    <col min="4" max="4" width="9.1796875" style="168"/>
    <col min="5" max="5" width="10.7265625" style="168" bestFit="1" customWidth="1"/>
    <col min="6" max="8" width="10.7265625" bestFit="1" customWidth="1"/>
  </cols>
  <sheetData>
    <row r="1" spans="1:7">
      <c r="E1" s="39">
        <f>'(02.2) Mem Detalhada (DEPRE SP)'!J27</f>
        <v>0</v>
      </c>
    </row>
    <row r="2" spans="1:7">
      <c r="A2" s="166" t="s">
        <v>140</v>
      </c>
      <c r="B2" s="166" t="s">
        <v>137</v>
      </c>
      <c r="C2" s="166" t="s">
        <v>138</v>
      </c>
      <c r="D2" s="166" t="s">
        <v>139</v>
      </c>
      <c r="E2" s="166" t="s">
        <v>140</v>
      </c>
      <c r="F2" s="166" t="s">
        <v>141</v>
      </c>
      <c r="G2" s="166" t="s">
        <v>142</v>
      </c>
    </row>
    <row r="3" spans="1:7">
      <c r="A3" s="168" t="str">
        <f>IF(AND($E$1&gt;=B3,$E$1&lt;=C3),D3,"")</f>
        <v/>
      </c>
      <c r="B3" s="167">
        <v>37073</v>
      </c>
      <c r="C3" s="167">
        <v>37437</v>
      </c>
      <c r="D3" s="168">
        <v>2003</v>
      </c>
      <c r="E3" s="168" t="str">
        <f>IF(AND($E$1&gt;=B3,$E$1&lt;=C3),D3,"")</f>
        <v/>
      </c>
      <c r="F3" s="1">
        <v>37438</v>
      </c>
      <c r="G3" s="1">
        <v>37986</v>
      </c>
    </row>
    <row r="4" spans="1:7">
      <c r="A4" s="168" t="str">
        <f t="shared" ref="A4:A49" si="0">IF(AND($E$1&gt;=B4,$E$1&lt;=C4),D4,"")</f>
        <v/>
      </c>
      <c r="B4" s="167">
        <f>B3+365</f>
        <v>37438</v>
      </c>
      <c r="C4" s="167">
        <f>C3+365</f>
        <v>37802</v>
      </c>
      <c r="D4" s="168">
        <f>D3+1</f>
        <v>2004</v>
      </c>
      <c r="E4" s="168" t="str">
        <f>IF(AND($E$1&gt;=B4,$E$1&lt;=C4),D4,"")</f>
        <v/>
      </c>
      <c r="F4" s="1">
        <v>37803</v>
      </c>
      <c r="G4" s="1">
        <v>38352</v>
      </c>
    </row>
    <row r="5" spans="1:7">
      <c r="A5" s="168" t="str">
        <f t="shared" si="0"/>
        <v/>
      </c>
      <c r="B5" s="167">
        <f t="shared" ref="B5:B33" si="1">B4+365</f>
        <v>37803</v>
      </c>
      <c r="C5" s="167">
        <f>C4+366</f>
        <v>38168</v>
      </c>
      <c r="D5" s="168">
        <f t="shared" ref="D5:D49" si="2">D4+1</f>
        <v>2005</v>
      </c>
      <c r="E5" s="168" t="str">
        <f t="shared" ref="E5:E49" si="3">IF(AND($E$1&gt;=B5,$E$1&lt;=C5),D5,"")</f>
        <v/>
      </c>
      <c r="F5" s="1">
        <v>38169</v>
      </c>
      <c r="G5" s="1">
        <v>38717</v>
      </c>
    </row>
    <row r="6" spans="1:7">
      <c r="A6" s="168" t="str">
        <f t="shared" si="0"/>
        <v/>
      </c>
      <c r="B6" s="167">
        <f>B5+366</f>
        <v>38169</v>
      </c>
      <c r="C6" s="167">
        <f t="shared" ref="C6:C32" si="4">C5+365</f>
        <v>38533</v>
      </c>
      <c r="D6" s="168">
        <f t="shared" si="2"/>
        <v>2006</v>
      </c>
      <c r="E6" s="168" t="str">
        <f t="shared" si="3"/>
        <v/>
      </c>
      <c r="F6" s="1">
        <v>38534</v>
      </c>
      <c r="G6" s="1">
        <v>39082</v>
      </c>
    </row>
    <row r="7" spans="1:7">
      <c r="A7" s="168" t="str">
        <f t="shared" si="0"/>
        <v/>
      </c>
      <c r="B7" s="167">
        <f t="shared" si="1"/>
        <v>38534</v>
      </c>
      <c r="C7" s="167">
        <f t="shared" si="4"/>
        <v>38898</v>
      </c>
      <c r="D7" s="168">
        <f t="shared" si="2"/>
        <v>2007</v>
      </c>
      <c r="E7" s="168" t="str">
        <f t="shared" si="3"/>
        <v/>
      </c>
      <c r="F7" s="1">
        <v>38899</v>
      </c>
      <c r="G7" s="1">
        <v>39447</v>
      </c>
    </row>
    <row r="8" spans="1:7">
      <c r="A8" s="168" t="str">
        <f t="shared" si="0"/>
        <v/>
      </c>
      <c r="B8" s="167">
        <f t="shared" si="1"/>
        <v>38899</v>
      </c>
      <c r="C8" s="167">
        <f t="shared" si="4"/>
        <v>39263</v>
      </c>
      <c r="D8" s="168">
        <f t="shared" si="2"/>
        <v>2008</v>
      </c>
      <c r="E8" s="168" t="str">
        <f t="shared" si="3"/>
        <v/>
      </c>
      <c r="F8" s="1">
        <v>39264</v>
      </c>
      <c r="G8" s="1">
        <v>39813</v>
      </c>
    </row>
    <row r="9" spans="1:7">
      <c r="A9" s="168" t="str">
        <f t="shared" si="0"/>
        <v/>
      </c>
      <c r="B9" s="167">
        <f t="shared" si="1"/>
        <v>39264</v>
      </c>
      <c r="C9" s="167">
        <f>C8+366</f>
        <v>39629</v>
      </c>
      <c r="D9" s="168">
        <f t="shared" si="2"/>
        <v>2009</v>
      </c>
      <c r="E9" s="168" t="str">
        <f t="shared" si="3"/>
        <v/>
      </c>
      <c r="F9" s="1">
        <v>39630</v>
      </c>
      <c r="G9" s="1">
        <v>40178</v>
      </c>
    </row>
    <row r="10" spans="1:7">
      <c r="A10" s="168" t="str">
        <f t="shared" si="0"/>
        <v/>
      </c>
      <c r="B10" s="167">
        <f>B9+366</f>
        <v>39630</v>
      </c>
      <c r="C10" s="167">
        <f t="shared" si="4"/>
        <v>39994</v>
      </c>
      <c r="D10" s="168">
        <f t="shared" si="2"/>
        <v>2010</v>
      </c>
      <c r="E10" s="168" t="str">
        <f t="shared" si="3"/>
        <v/>
      </c>
      <c r="F10" s="1">
        <v>39995</v>
      </c>
      <c r="G10" s="1">
        <v>40543</v>
      </c>
    </row>
    <row r="11" spans="1:7">
      <c r="A11" s="168" t="str">
        <f t="shared" si="0"/>
        <v/>
      </c>
      <c r="B11" s="167">
        <f t="shared" si="1"/>
        <v>39995</v>
      </c>
      <c r="C11" s="167">
        <f t="shared" si="4"/>
        <v>40359</v>
      </c>
      <c r="D11" s="168">
        <f t="shared" si="2"/>
        <v>2011</v>
      </c>
      <c r="E11" s="168" t="str">
        <f t="shared" si="3"/>
        <v/>
      </c>
      <c r="F11" s="1">
        <v>40360</v>
      </c>
      <c r="G11" s="1">
        <v>40908</v>
      </c>
    </row>
    <row r="12" spans="1:7">
      <c r="A12" s="168" t="str">
        <f t="shared" si="0"/>
        <v/>
      </c>
      <c r="B12" s="167">
        <f t="shared" si="1"/>
        <v>40360</v>
      </c>
      <c r="C12" s="167">
        <f t="shared" si="4"/>
        <v>40724</v>
      </c>
      <c r="D12" s="168">
        <f t="shared" si="2"/>
        <v>2012</v>
      </c>
      <c r="E12" s="168" t="str">
        <f t="shared" si="3"/>
        <v/>
      </c>
      <c r="F12" s="1">
        <v>40725</v>
      </c>
      <c r="G12" s="1">
        <v>41274</v>
      </c>
    </row>
    <row r="13" spans="1:7">
      <c r="A13" s="168" t="str">
        <f t="shared" si="0"/>
        <v/>
      </c>
      <c r="B13" s="167">
        <f t="shared" si="1"/>
        <v>40725</v>
      </c>
      <c r="C13" s="167">
        <f>C12+366</f>
        <v>41090</v>
      </c>
      <c r="D13" s="168">
        <f t="shared" si="2"/>
        <v>2013</v>
      </c>
      <c r="E13" s="168" t="str">
        <f t="shared" si="3"/>
        <v/>
      </c>
      <c r="F13" s="1">
        <v>41091</v>
      </c>
      <c r="G13" s="1">
        <v>41639</v>
      </c>
    </row>
    <row r="14" spans="1:7">
      <c r="A14" s="168" t="str">
        <f t="shared" si="0"/>
        <v/>
      </c>
      <c r="B14" s="167">
        <f>B13+366</f>
        <v>41091</v>
      </c>
      <c r="C14" s="167">
        <f t="shared" si="4"/>
        <v>41455</v>
      </c>
      <c r="D14" s="168">
        <f t="shared" si="2"/>
        <v>2014</v>
      </c>
      <c r="E14" s="168" t="str">
        <f t="shared" si="3"/>
        <v/>
      </c>
      <c r="F14" s="1">
        <v>41456</v>
      </c>
      <c r="G14" s="1">
        <v>42004</v>
      </c>
    </row>
    <row r="15" spans="1:7">
      <c r="A15" s="168" t="str">
        <f t="shared" si="0"/>
        <v/>
      </c>
      <c r="B15" s="167">
        <f t="shared" si="1"/>
        <v>41456</v>
      </c>
      <c r="C15" s="167">
        <f t="shared" si="4"/>
        <v>41820</v>
      </c>
      <c r="D15" s="168">
        <f t="shared" si="2"/>
        <v>2015</v>
      </c>
      <c r="E15" s="168" t="str">
        <f t="shared" si="3"/>
        <v/>
      </c>
      <c r="F15" s="1">
        <v>41821</v>
      </c>
      <c r="G15" s="1">
        <v>42369</v>
      </c>
    </row>
    <row r="16" spans="1:7">
      <c r="A16" s="168" t="str">
        <f t="shared" si="0"/>
        <v/>
      </c>
      <c r="B16" s="167">
        <f t="shared" si="1"/>
        <v>41821</v>
      </c>
      <c r="C16" s="167">
        <f t="shared" si="4"/>
        <v>42185</v>
      </c>
      <c r="D16" s="168">
        <f t="shared" si="2"/>
        <v>2016</v>
      </c>
      <c r="E16" s="168" t="str">
        <f t="shared" si="3"/>
        <v/>
      </c>
      <c r="F16" s="1">
        <v>42186</v>
      </c>
      <c r="G16" s="1">
        <v>42735</v>
      </c>
    </row>
    <row r="17" spans="1:7">
      <c r="A17" s="168" t="str">
        <f t="shared" si="0"/>
        <v/>
      </c>
      <c r="B17" s="167">
        <f t="shared" si="1"/>
        <v>42186</v>
      </c>
      <c r="C17" s="167">
        <f>C16+366</f>
        <v>42551</v>
      </c>
      <c r="D17" s="168">
        <f t="shared" si="2"/>
        <v>2017</v>
      </c>
      <c r="E17" s="168" t="str">
        <f t="shared" si="3"/>
        <v/>
      </c>
      <c r="F17" s="1">
        <v>42552</v>
      </c>
      <c r="G17" s="1">
        <v>43100</v>
      </c>
    </row>
    <row r="18" spans="1:7">
      <c r="A18" s="168" t="str">
        <f t="shared" si="0"/>
        <v/>
      </c>
      <c r="B18" s="167">
        <f>B17+366</f>
        <v>42552</v>
      </c>
      <c r="C18" s="167">
        <f t="shared" si="4"/>
        <v>42916</v>
      </c>
      <c r="D18" s="168">
        <f t="shared" si="2"/>
        <v>2018</v>
      </c>
      <c r="E18" s="168" t="str">
        <f t="shared" si="3"/>
        <v/>
      </c>
      <c r="F18" s="1">
        <v>42917</v>
      </c>
      <c r="G18" s="1">
        <v>43465</v>
      </c>
    </row>
    <row r="19" spans="1:7">
      <c r="A19" s="168" t="str">
        <f t="shared" si="0"/>
        <v/>
      </c>
      <c r="B19" s="167">
        <f t="shared" si="1"/>
        <v>42917</v>
      </c>
      <c r="C19" s="167">
        <f t="shared" si="4"/>
        <v>43281</v>
      </c>
      <c r="D19" s="168">
        <f t="shared" si="2"/>
        <v>2019</v>
      </c>
      <c r="E19" s="168" t="str">
        <f t="shared" si="3"/>
        <v/>
      </c>
      <c r="F19" s="1">
        <v>43282</v>
      </c>
      <c r="G19" s="1">
        <v>43830</v>
      </c>
    </row>
    <row r="20" spans="1:7">
      <c r="A20" s="168" t="str">
        <f t="shared" si="0"/>
        <v/>
      </c>
      <c r="B20" s="167">
        <f t="shared" si="1"/>
        <v>43282</v>
      </c>
      <c r="C20" s="167">
        <f t="shared" si="4"/>
        <v>43646</v>
      </c>
      <c r="D20" s="168">
        <f t="shared" si="2"/>
        <v>2020</v>
      </c>
      <c r="E20" s="168" t="str">
        <f t="shared" si="3"/>
        <v/>
      </c>
      <c r="F20" s="1">
        <v>43647</v>
      </c>
      <c r="G20" s="1">
        <v>44196</v>
      </c>
    </row>
    <row r="21" spans="1:7">
      <c r="A21" s="168" t="str">
        <f t="shared" si="0"/>
        <v/>
      </c>
      <c r="B21" s="167">
        <f t="shared" si="1"/>
        <v>43647</v>
      </c>
      <c r="C21" s="167">
        <f>C20+366</f>
        <v>44012</v>
      </c>
      <c r="D21" s="168">
        <f t="shared" si="2"/>
        <v>2021</v>
      </c>
      <c r="E21" s="168" t="str">
        <f t="shared" si="3"/>
        <v/>
      </c>
      <c r="F21" s="1">
        <v>44013</v>
      </c>
      <c r="G21" s="1">
        <v>44561</v>
      </c>
    </row>
    <row r="22" spans="1:7">
      <c r="A22" s="168" t="str">
        <f t="shared" si="0"/>
        <v/>
      </c>
      <c r="B22" s="167">
        <f>B21+366</f>
        <v>44013</v>
      </c>
      <c r="C22" s="167">
        <f t="shared" si="4"/>
        <v>44377</v>
      </c>
      <c r="D22" s="168">
        <f t="shared" si="2"/>
        <v>2022</v>
      </c>
      <c r="E22" s="168" t="str">
        <f t="shared" si="3"/>
        <v/>
      </c>
      <c r="F22" s="1">
        <v>44378</v>
      </c>
      <c r="G22" s="1">
        <v>44926</v>
      </c>
    </row>
    <row r="23" spans="1:7">
      <c r="A23" s="168" t="str">
        <f t="shared" si="0"/>
        <v/>
      </c>
      <c r="B23" s="169">
        <f t="shared" si="1"/>
        <v>44378</v>
      </c>
      <c r="C23" s="169">
        <v>44653</v>
      </c>
      <c r="D23" s="168">
        <f>D22+1</f>
        <v>2023</v>
      </c>
      <c r="E23" s="168" t="str">
        <f t="shared" si="3"/>
        <v/>
      </c>
      <c r="F23" s="1">
        <v>44654</v>
      </c>
      <c r="G23" s="1">
        <v>45291</v>
      </c>
    </row>
    <row r="24" spans="1:7">
      <c r="A24" s="168" t="str">
        <f t="shared" si="0"/>
        <v/>
      </c>
      <c r="B24" s="167">
        <v>44654</v>
      </c>
      <c r="C24" s="167">
        <f t="shared" si="4"/>
        <v>45018</v>
      </c>
      <c r="D24" s="168">
        <f t="shared" si="2"/>
        <v>2024</v>
      </c>
      <c r="E24" s="168" t="str">
        <f t="shared" si="3"/>
        <v/>
      </c>
      <c r="F24" s="1">
        <v>45019</v>
      </c>
      <c r="G24" s="1">
        <v>45657</v>
      </c>
    </row>
    <row r="25" spans="1:7">
      <c r="A25" s="168" t="str">
        <f t="shared" si="0"/>
        <v/>
      </c>
      <c r="B25" s="167">
        <f t="shared" si="1"/>
        <v>45019</v>
      </c>
      <c r="C25" s="167">
        <f>C24+366</f>
        <v>45384</v>
      </c>
      <c r="D25" s="168">
        <f t="shared" si="2"/>
        <v>2025</v>
      </c>
      <c r="E25" s="168" t="str">
        <f t="shared" si="3"/>
        <v/>
      </c>
      <c r="F25" s="1">
        <v>45385</v>
      </c>
      <c r="G25" s="1">
        <v>46022</v>
      </c>
    </row>
    <row r="26" spans="1:7">
      <c r="A26" s="168" t="str">
        <f t="shared" si="0"/>
        <v/>
      </c>
      <c r="B26" s="167">
        <f>B25+366</f>
        <v>45385</v>
      </c>
      <c r="C26" s="167">
        <f t="shared" si="4"/>
        <v>45749</v>
      </c>
      <c r="D26" s="168">
        <f t="shared" si="2"/>
        <v>2026</v>
      </c>
      <c r="E26" s="168" t="str">
        <f t="shared" si="3"/>
        <v/>
      </c>
      <c r="F26" s="1">
        <v>45750</v>
      </c>
      <c r="G26" s="1">
        <v>46387</v>
      </c>
    </row>
    <row r="27" spans="1:7">
      <c r="A27" s="168" t="str">
        <f t="shared" si="0"/>
        <v/>
      </c>
      <c r="B27" s="167">
        <f t="shared" si="1"/>
        <v>45750</v>
      </c>
      <c r="C27" s="167">
        <v>46054</v>
      </c>
      <c r="D27" s="168">
        <f t="shared" si="2"/>
        <v>2027</v>
      </c>
      <c r="E27" s="168" t="str">
        <f t="shared" si="3"/>
        <v/>
      </c>
      <c r="F27" s="1">
        <f t="shared" ref="F27:F39" si="5">C27+1</f>
        <v>46055</v>
      </c>
      <c r="G27" s="1">
        <v>46752</v>
      </c>
    </row>
    <row r="28" spans="1:7">
      <c r="A28" s="168" t="str">
        <f t="shared" si="0"/>
        <v/>
      </c>
      <c r="B28" s="167">
        <v>46055</v>
      </c>
      <c r="C28" s="167">
        <f t="shared" si="4"/>
        <v>46419</v>
      </c>
      <c r="D28" s="168">
        <f t="shared" si="2"/>
        <v>2028</v>
      </c>
      <c r="E28" s="168" t="str">
        <f t="shared" si="3"/>
        <v/>
      </c>
      <c r="F28" s="1">
        <f t="shared" si="5"/>
        <v>46420</v>
      </c>
      <c r="G28" s="1">
        <v>47118</v>
      </c>
    </row>
    <row r="29" spans="1:7">
      <c r="A29" s="168" t="str">
        <f t="shared" si="0"/>
        <v/>
      </c>
      <c r="B29" s="167">
        <f t="shared" si="1"/>
        <v>46420</v>
      </c>
      <c r="C29" s="167">
        <f>C28+365</f>
        <v>46784</v>
      </c>
      <c r="D29" s="168">
        <f t="shared" si="2"/>
        <v>2029</v>
      </c>
      <c r="E29" s="168" t="str">
        <f t="shared" si="3"/>
        <v/>
      </c>
      <c r="F29" s="1">
        <f t="shared" si="5"/>
        <v>46785</v>
      </c>
      <c r="G29" s="1">
        <v>47483</v>
      </c>
    </row>
    <row r="30" spans="1:7">
      <c r="A30" s="168" t="str">
        <f t="shared" si="0"/>
        <v/>
      </c>
      <c r="B30" s="167">
        <f>B29+365</f>
        <v>46785</v>
      </c>
      <c r="C30" s="167">
        <f>C29+366</f>
        <v>47150</v>
      </c>
      <c r="D30" s="168">
        <f t="shared" si="2"/>
        <v>2030</v>
      </c>
      <c r="E30" s="168" t="str">
        <f t="shared" si="3"/>
        <v/>
      </c>
      <c r="F30" s="1">
        <f t="shared" si="5"/>
        <v>47151</v>
      </c>
      <c r="G30" s="1">
        <v>47848</v>
      </c>
    </row>
    <row r="31" spans="1:7">
      <c r="A31" s="168" t="str">
        <f t="shared" si="0"/>
        <v/>
      </c>
      <c r="B31" s="167">
        <f>B30+366</f>
        <v>47151</v>
      </c>
      <c r="C31" s="167">
        <f t="shared" si="4"/>
        <v>47515</v>
      </c>
      <c r="D31" s="168">
        <f t="shared" si="2"/>
        <v>2031</v>
      </c>
      <c r="E31" s="168" t="str">
        <f t="shared" si="3"/>
        <v/>
      </c>
      <c r="F31" s="1">
        <f t="shared" si="5"/>
        <v>47516</v>
      </c>
      <c r="G31" s="1">
        <v>48213</v>
      </c>
    </row>
    <row r="32" spans="1:7">
      <c r="A32" s="168" t="str">
        <f t="shared" si="0"/>
        <v/>
      </c>
      <c r="B32" s="167">
        <f t="shared" si="1"/>
        <v>47516</v>
      </c>
      <c r="C32" s="167">
        <f t="shared" si="4"/>
        <v>47880</v>
      </c>
      <c r="D32" s="168">
        <f t="shared" si="2"/>
        <v>2032</v>
      </c>
      <c r="E32" s="168" t="str">
        <f t="shared" si="3"/>
        <v/>
      </c>
      <c r="F32" s="1">
        <f t="shared" si="5"/>
        <v>47881</v>
      </c>
      <c r="G32" s="1">
        <v>48579</v>
      </c>
    </row>
    <row r="33" spans="1:7">
      <c r="A33" s="168" t="str">
        <f t="shared" si="0"/>
        <v/>
      </c>
      <c r="B33" s="167">
        <f t="shared" si="1"/>
        <v>47881</v>
      </c>
      <c r="C33" s="167">
        <f>C32+365</f>
        <v>48245</v>
      </c>
      <c r="D33" s="168">
        <f t="shared" si="2"/>
        <v>2033</v>
      </c>
      <c r="E33" s="168" t="str">
        <f t="shared" si="3"/>
        <v/>
      </c>
      <c r="F33" s="1">
        <f t="shared" si="5"/>
        <v>48246</v>
      </c>
      <c r="G33" s="1">
        <v>48944</v>
      </c>
    </row>
    <row r="34" spans="1:7">
      <c r="A34" s="168" t="str">
        <f t="shared" si="0"/>
        <v/>
      </c>
      <c r="B34" s="167">
        <f>B33+365</f>
        <v>48246</v>
      </c>
      <c r="C34" s="167">
        <f>C33+366</f>
        <v>48611</v>
      </c>
      <c r="D34" s="168">
        <f t="shared" si="2"/>
        <v>2034</v>
      </c>
      <c r="E34" s="168" t="str">
        <f t="shared" si="3"/>
        <v/>
      </c>
      <c r="F34" s="1">
        <f t="shared" si="5"/>
        <v>48612</v>
      </c>
      <c r="G34" s="1">
        <v>49309</v>
      </c>
    </row>
    <row r="35" spans="1:7">
      <c r="A35" s="168" t="str">
        <f t="shared" si="0"/>
        <v/>
      </c>
      <c r="B35" s="167">
        <f>B34+366</f>
        <v>48612</v>
      </c>
      <c r="C35" s="167">
        <f>C34+365</f>
        <v>48976</v>
      </c>
      <c r="D35" s="168">
        <f t="shared" si="2"/>
        <v>2035</v>
      </c>
      <c r="E35" s="168" t="str">
        <f t="shared" si="3"/>
        <v/>
      </c>
      <c r="F35" s="1">
        <f t="shared" si="5"/>
        <v>48977</v>
      </c>
      <c r="G35" s="1">
        <v>49674</v>
      </c>
    </row>
    <row r="36" spans="1:7">
      <c r="A36" s="168" t="str">
        <f t="shared" si="0"/>
        <v/>
      </c>
      <c r="B36" s="167">
        <f t="shared" ref="B36:C49" si="6">B35+365</f>
        <v>48977</v>
      </c>
      <c r="C36" s="167">
        <f>C35+365</f>
        <v>49341</v>
      </c>
      <c r="D36" s="168">
        <f t="shared" si="2"/>
        <v>2036</v>
      </c>
      <c r="E36" s="168" t="str">
        <f t="shared" si="3"/>
        <v/>
      </c>
      <c r="F36" s="1">
        <f t="shared" si="5"/>
        <v>49342</v>
      </c>
      <c r="G36" s="1">
        <v>50040</v>
      </c>
    </row>
    <row r="37" spans="1:7">
      <c r="A37" s="168" t="str">
        <f t="shared" si="0"/>
        <v/>
      </c>
      <c r="B37" s="167">
        <f t="shared" si="6"/>
        <v>49342</v>
      </c>
      <c r="C37" s="167">
        <f>C36+365</f>
        <v>49706</v>
      </c>
      <c r="D37" s="168">
        <f t="shared" si="2"/>
        <v>2037</v>
      </c>
      <c r="E37" s="168" t="str">
        <f t="shared" si="3"/>
        <v/>
      </c>
      <c r="F37" s="1">
        <f t="shared" si="5"/>
        <v>49707</v>
      </c>
      <c r="G37" s="1">
        <v>50405</v>
      </c>
    </row>
    <row r="38" spans="1:7">
      <c r="A38" s="168" t="str">
        <f t="shared" si="0"/>
        <v/>
      </c>
      <c r="B38" s="167">
        <f>B37+365</f>
        <v>49707</v>
      </c>
      <c r="C38" s="167">
        <f>C37+366</f>
        <v>50072</v>
      </c>
      <c r="D38" s="168">
        <f t="shared" si="2"/>
        <v>2038</v>
      </c>
      <c r="E38" s="168" t="str">
        <f t="shared" si="3"/>
        <v/>
      </c>
      <c r="F38" s="1">
        <f t="shared" si="5"/>
        <v>50073</v>
      </c>
      <c r="G38" s="1">
        <v>50770</v>
      </c>
    </row>
    <row r="39" spans="1:7">
      <c r="A39" s="168" t="str">
        <f t="shared" si="0"/>
        <v/>
      </c>
      <c r="B39" s="167">
        <f>B38+366</f>
        <v>50073</v>
      </c>
      <c r="C39" s="167">
        <f t="shared" si="6"/>
        <v>50437</v>
      </c>
      <c r="D39" s="168">
        <f t="shared" si="2"/>
        <v>2039</v>
      </c>
      <c r="E39" s="168" t="str">
        <f t="shared" si="3"/>
        <v/>
      </c>
      <c r="F39" s="1">
        <f t="shared" si="5"/>
        <v>50438</v>
      </c>
      <c r="G39" s="1">
        <v>51135</v>
      </c>
    </row>
    <row r="40" spans="1:7">
      <c r="A40" s="168" t="str">
        <f t="shared" si="0"/>
        <v/>
      </c>
      <c r="B40" s="167">
        <f t="shared" si="6"/>
        <v>50438</v>
      </c>
      <c r="C40" s="167">
        <f t="shared" si="6"/>
        <v>50802</v>
      </c>
      <c r="D40" s="168">
        <f t="shared" si="2"/>
        <v>2040</v>
      </c>
      <c r="E40" s="168" t="str">
        <f t="shared" si="3"/>
        <v/>
      </c>
      <c r="F40" s="1">
        <f t="shared" ref="F40:F49" si="7">C40+1</f>
        <v>50803</v>
      </c>
      <c r="G40" s="1">
        <v>51501</v>
      </c>
    </row>
    <row r="41" spans="1:7">
      <c r="A41" s="168" t="str">
        <f t="shared" si="0"/>
        <v/>
      </c>
      <c r="B41" s="167">
        <f t="shared" si="6"/>
        <v>50803</v>
      </c>
      <c r="C41" s="167">
        <f>C40+365</f>
        <v>51167</v>
      </c>
      <c r="D41" s="168">
        <f t="shared" si="2"/>
        <v>2041</v>
      </c>
      <c r="E41" s="168" t="str">
        <f t="shared" si="3"/>
        <v/>
      </c>
      <c r="F41" s="1">
        <f t="shared" si="7"/>
        <v>51168</v>
      </c>
      <c r="G41" s="1">
        <v>51866</v>
      </c>
    </row>
    <row r="42" spans="1:7">
      <c r="A42" s="168" t="str">
        <f t="shared" si="0"/>
        <v/>
      </c>
      <c r="B42" s="167">
        <f>B41+365</f>
        <v>51168</v>
      </c>
      <c r="C42" s="167">
        <f>C41+366</f>
        <v>51533</v>
      </c>
      <c r="D42" s="168">
        <f t="shared" si="2"/>
        <v>2042</v>
      </c>
      <c r="E42" s="168" t="str">
        <f t="shared" si="3"/>
        <v/>
      </c>
      <c r="F42" s="1">
        <f t="shared" si="7"/>
        <v>51534</v>
      </c>
      <c r="G42" s="1">
        <v>52231</v>
      </c>
    </row>
    <row r="43" spans="1:7">
      <c r="A43" s="168" t="str">
        <f t="shared" si="0"/>
        <v/>
      </c>
      <c r="B43" s="167">
        <f>B42+366</f>
        <v>51534</v>
      </c>
      <c r="C43" s="167">
        <f t="shared" si="6"/>
        <v>51898</v>
      </c>
      <c r="D43" s="168">
        <f t="shared" si="2"/>
        <v>2043</v>
      </c>
      <c r="E43" s="168" t="str">
        <f t="shared" si="3"/>
        <v/>
      </c>
      <c r="F43" s="1">
        <f t="shared" si="7"/>
        <v>51899</v>
      </c>
      <c r="G43" s="1">
        <v>52596</v>
      </c>
    </row>
    <row r="44" spans="1:7">
      <c r="A44" s="168" t="str">
        <f t="shared" si="0"/>
        <v/>
      </c>
      <c r="B44" s="167">
        <f t="shared" si="6"/>
        <v>51899</v>
      </c>
      <c r="C44" s="167">
        <f t="shared" si="6"/>
        <v>52263</v>
      </c>
      <c r="D44" s="168">
        <f t="shared" si="2"/>
        <v>2044</v>
      </c>
      <c r="E44" s="168" t="str">
        <f t="shared" si="3"/>
        <v/>
      </c>
      <c r="F44" s="1">
        <f t="shared" si="7"/>
        <v>52264</v>
      </c>
      <c r="G44" s="1">
        <v>52962</v>
      </c>
    </row>
    <row r="45" spans="1:7">
      <c r="A45" s="168" t="str">
        <f t="shared" si="0"/>
        <v/>
      </c>
      <c r="B45" s="167">
        <f t="shared" si="6"/>
        <v>52264</v>
      </c>
      <c r="C45" s="167">
        <f>C44+366</f>
        <v>52629</v>
      </c>
      <c r="D45" s="168">
        <f t="shared" si="2"/>
        <v>2045</v>
      </c>
      <c r="E45" s="168" t="str">
        <f t="shared" si="3"/>
        <v/>
      </c>
      <c r="F45" s="1">
        <f t="shared" si="7"/>
        <v>52630</v>
      </c>
      <c r="G45" s="1">
        <v>53327</v>
      </c>
    </row>
    <row r="46" spans="1:7">
      <c r="A46" s="168" t="str">
        <f t="shared" si="0"/>
        <v/>
      </c>
      <c r="B46" s="167">
        <f>B45+366</f>
        <v>52630</v>
      </c>
      <c r="C46" s="167">
        <f t="shared" si="6"/>
        <v>52994</v>
      </c>
      <c r="D46" s="168">
        <f t="shared" si="2"/>
        <v>2046</v>
      </c>
      <c r="E46" s="168" t="str">
        <f t="shared" si="3"/>
        <v/>
      </c>
      <c r="F46" s="1">
        <f t="shared" si="7"/>
        <v>52995</v>
      </c>
      <c r="G46" s="1">
        <v>53692</v>
      </c>
    </row>
    <row r="47" spans="1:7">
      <c r="A47" s="168" t="str">
        <f t="shared" si="0"/>
        <v/>
      </c>
      <c r="B47" s="167">
        <f t="shared" si="6"/>
        <v>52995</v>
      </c>
      <c r="C47" s="167">
        <f t="shared" si="6"/>
        <v>53359</v>
      </c>
      <c r="D47" s="168">
        <f t="shared" si="2"/>
        <v>2047</v>
      </c>
      <c r="E47" s="168" t="str">
        <f t="shared" si="3"/>
        <v/>
      </c>
      <c r="F47" s="1">
        <f t="shared" si="7"/>
        <v>53360</v>
      </c>
      <c r="G47" s="1">
        <v>54057</v>
      </c>
    </row>
    <row r="48" spans="1:7">
      <c r="A48" s="168" t="str">
        <f t="shared" si="0"/>
        <v/>
      </c>
      <c r="B48" s="167">
        <f t="shared" si="6"/>
        <v>53360</v>
      </c>
      <c r="C48" s="167">
        <f t="shared" si="6"/>
        <v>53724</v>
      </c>
      <c r="D48" s="168">
        <f t="shared" si="2"/>
        <v>2048</v>
      </c>
      <c r="E48" s="168" t="str">
        <f t="shared" si="3"/>
        <v/>
      </c>
      <c r="F48" s="1">
        <f t="shared" si="7"/>
        <v>53725</v>
      </c>
      <c r="G48" s="1">
        <v>54423</v>
      </c>
    </row>
    <row r="49" spans="1:7">
      <c r="A49" s="168" t="str">
        <f t="shared" si="0"/>
        <v/>
      </c>
      <c r="B49" s="167">
        <f t="shared" si="6"/>
        <v>53725</v>
      </c>
      <c r="C49" s="167">
        <f>C48+366</f>
        <v>54090</v>
      </c>
      <c r="D49" s="168">
        <f t="shared" si="2"/>
        <v>2049</v>
      </c>
      <c r="E49" s="168" t="str">
        <f t="shared" si="3"/>
        <v/>
      </c>
      <c r="F49" s="1">
        <f t="shared" si="7"/>
        <v>54091</v>
      </c>
      <c r="G49" s="1">
        <v>54788</v>
      </c>
    </row>
    <row r="50" spans="1:7">
      <c r="B50" s="167"/>
      <c r="C50" s="167"/>
    </row>
    <row r="51" spans="1:7">
      <c r="B51" s="167"/>
      <c r="C51" s="167"/>
    </row>
    <row r="52" spans="1:7">
      <c r="B52" s="167"/>
      <c r="C52" s="167"/>
    </row>
    <row r="53" spans="1:7">
      <c r="B53" s="167"/>
      <c r="C53" s="167"/>
    </row>
    <row r="54" spans="1:7">
      <c r="B54" s="167"/>
      <c r="C54" s="167"/>
    </row>
    <row r="55" spans="1:7">
      <c r="B55" s="167"/>
      <c r="C55" s="167"/>
    </row>
    <row r="56" spans="1:7">
      <c r="B56" s="167"/>
      <c r="C56" s="167"/>
    </row>
    <row r="57" spans="1:7">
      <c r="B57" s="167"/>
      <c r="C57" s="167"/>
    </row>
    <row r="58" spans="1:7">
      <c r="B58" s="167"/>
      <c r="C58" s="167"/>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4CDDF-85C3-4ABA-9A0D-F2EACF91A044}">
  <dimension ref="B2:L41"/>
  <sheetViews>
    <sheetView workbookViewId="0">
      <selection activeCell="C37" sqref="C37"/>
    </sheetView>
  </sheetViews>
  <sheetFormatPr defaultColWidth="9.1796875" defaultRowHeight="14.5"/>
  <cols>
    <col min="1" max="1" width="2.1796875" style="13" customWidth="1"/>
    <col min="2" max="3" width="11" style="13" bestFit="1" customWidth="1"/>
    <col min="4" max="4" width="9.81640625" style="13" customWidth="1"/>
    <col min="5" max="5" width="17" style="13" customWidth="1"/>
    <col min="6" max="6" width="2.81640625" style="13" customWidth="1"/>
    <col min="7" max="7" width="45.81640625" style="13" bestFit="1" customWidth="1"/>
    <col min="8" max="8" width="17.453125" style="13" bestFit="1" customWidth="1"/>
    <col min="9" max="9" width="19.7265625" style="13" bestFit="1" customWidth="1"/>
    <col min="10" max="10" width="18.453125" style="13" customWidth="1"/>
    <col min="11" max="11" width="10.1796875" style="13" bestFit="1" customWidth="1"/>
    <col min="12" max="12" width="14.26953125" style="13" bestFit="1" customWidth="1"/>
    <col min="13" max="16384" width="9.1796875" style="13"/>
  </cols>
  <sheetData>
    <row r="2" spans="2:10">
      <c r="B2" s="336" t="s">
        <v>184</v>
      </c>
      <c r="C2" s="336"/>
      <c r="D2" s="336"/>
      <c r="E2" s="336"/>
      <c r="G2" s="336" t="s">
        <v>187</v>
      </c>
      <c r="H2" s="336"/>
      <c r="I2" s="336"/>
      <c r="J2" s="336"/>
    </row>
    <row r="3" spans="2:10">
      <c r="B3" s="337" t="s">
        <v>162</v>
      </c>
      <c r="C3" s="338"/>
      <c r="D3" s="187" t="s">
        <v>163</v>
      </c>
      <c r="E3" s="188" t="s">
        <v>164</v>
      </c>
      <c r="G3" s="337" t="s">
        <v>162</v>
      </c>
      <c r="H3" s="338"/>
      <c r="I3" s="187" t="s">
        <v>163</v>
      </c>
      <c r="J3" s="188" t="s">
        <v>164</v>
      </c>
    </row>
    <row r="4" spans="2:10">
      <c r="B4" s="189">
        <v>2259.1999999999998</v>
      </c>
      <c r="E4" s="190"/>
      <c r="G4" s="189">
        <v>2259.1999999999998</v>
      </c>
      <c r="J4" s="190"/>
    </row>
    <row r="5" spans="2:10">
      <c r="B5" s="189">
        <v>2259.21</v>
      </c>
      <c r="C5" s="191">
        <v>2826.65</v>
      </c>
      <c r="D5" s="192">
        <v>7.4999999999999997E-2</v>
      </c>
      <c r="E5" s="193">
        <v>169.44</v>
      </c>
      <c r="G5" s="189">
        <v>2259.21</v>
      </c>
      <c r="H5" s="191">
        <v>2826.65</v>
      </c>
      <c r="I5" s="192">
        <v>7.4999999999999997E-2</v>
      </c>
      <c r="J5" s="193">
        <v>169.44</v>
      </c>
    </row>
    <row r="6" spans="2:10">
      <c r="B6" s="189">
        <v>2826.66</v>
      </c>
      <c r="C6" s="194">
        <v>3751.05</v>
      </c>
      <c r="D6" s="195">
        <v>0.15</v>
      </c>
      <c r="E6" s="193">
        <v>381.44</v>
      </c>
      <c r="G6" s="189">
        <v>2826.66</v>
      </c>
      <c r="H6" s="194">
        <v>3751.05</v>
      </c>
      <c r="I6" s="195">
        <v>0.15</v>
      </c>
      <c r="J6" s="193">
        <v>381.44</v>
      </c>
    </row>
    <row r="7" spans="2:10">
      <c r="B7" s="189">
        <v>3751.06</v>
      </c>
      <c r="C7" s="191">
        <v>4664.68</v>
      </c>
      <c r="D7" s="192">
        <v>0.22500000000000001</v>
      </c>
      <c r="E7" s="193">
        <v>662.77</v>
      </c>
      <c r="G7" s="189">
        <v>3751.06</v>
      </c>
      <c r="H7" s="191">
        <v>4664.68</v>
      </c>
      <c r="I7" s="192">
        <v>0.22500000000000001</v>
      </c>
      <c r="J7" s="193">
        <v>662.77</v>
      </c>
    </row>
    <row r="8" spans="2:10">
      <c r="B8" s="196">
        <v>4664.68</v>
      </c>
      <c r="C8" s="197"/>
      <c r="D8" s="198">
        <v>0.27500000000000002</v>
      </c>
      <c r="E8" s="199">
        <v>896</v>
      </c>
      <c r="G8" s="196">
        <v>4664.68</v>
      </c>
      <c r="H8" s="197"/>
      <c r="I8" s="198">
        <v>0.27500000000000002</v>
      </c>
      <c r="J8" s="199">
        <v>896</v>
      </c>
    </row>
    <row r="10" spans="2:10">
      <c r="C10" s="13" t="s">
        <v>165</v>
      </c>
      <c r="E10" s="200" t="e" cm="1">
        <f t="array" ref="E10:F10">IF('(02.2) Mem Detalhada (DEPRE SP)'!B12="TRF sem destaque",'(02.2) Mem Detalhada (DEPRE SP)'!K306:L306,IF('(02.2) Mem Detalhada (DEPRE SP)'!B12="TRF com destaque",'(02.2) Mem Detalhada (DEPRE SP)'!K306:L306-'(02.2) Mem Detalhada (DEPRE SP)'!K309:L309,IF('(02.2) Mem Detalhada (DEPRE SP)'!B12="Federal-TJ",0,IF('(02.2) Mem Detalhada (DEPRE SP)'!B12="Estadual/Municipal",'(02.2) Mem Detalhada (DEPRE SP)'!K302:L302))))</f>
        <v>#N/A</v>
      </c>
      <c r="F10" s="13">
        <v>0</v>
      </c>
      <c r="H10" s="13" t="s">
        <v>165</v>
      </c>
      <c r="J10" s="227" t="e">
        <f>IF('(02.2) Mem Detalhada (DEPRE SP)'!B12="TRF sem destaque",I22,IF('(02.2) Mem Detalhada (DEPRE SP)'!B12="TRF sem destaque",I22-I24,IF('(02.2) Mem Detalhada (DEPRE SP)'!B12="Federal-TJ",0,IF('(02.2) Mem Detalhada (DEPRE SP)'!B12="Estadual/Municipal",I32-I34))))</f>
        <v>#N/A</v>
      </c>
    </row>
    <row r="11" spans="2:10">
      <c r="C11" s="13" t="s">
        <v>166</v>
      </c>
      <c r="E11" s="13">
        <f>'(02.2) Mem Detalhada (DEPRE SP)'!F310</f>
        <v>1</v>
      </c>
      <c r="H11" s="13" t="s">
        <v>166</v>
      </c>
      <c r="J11" s="13">
        <f>'(02.2) Mem Detalhada (DEPRE SP)'!$F$310</f>
        <v>1</v>
      </c>
    </row>
    <row r="12" spans="2:10">
      <c r="C12" s="13" t="s">
        <v>168</v>
      </c>
      <c r="E12" s="201" t="e">
        <f>E10/E11</f>
        <v>#N/A</v>
      </c>
      <c r="H12" s="13" t="s">
        <v>168</v>
      </c>
      <c r="J12" s="201" t="e">
        <f>J10/J11</f>
        <v>#N/A</v>
      </c>
    </row>
    <row r="14" spans="2:10">
      <c r="C14" s="13" t="s">
        <v>169</v>
      </c>
      <c r="E14" s="200" t="e">
        <f>IF(E12&lt;=B4,0,IF(E12&lt;=C5,((E12*D5-E5)*E11),IF(E12&lt;=C6,((E12*D6-E6)*E11),IF(E12&lt;=C7,((E12*D7-E7)*E11),IF(E12&gt;C7,((E12*D8-E8)*E11))))))</f>
        <v>#N/A</v>
      </c>
      <c r="H14" s="225" t="s">
        <v>169</v>
      </c>
      <c r="I14" s="225"/>
      <c r="J14" s="234" t="e">
        <f>IF(J12&lt;=G4,0,IF(J12&lt;=H5,((J12*I5-J5)*J11),IF(J12&lt;=H6,((J12*I6-J6)*J11),IF(J12&lt;=H7,((J12*I7-J7)*J11),IF(J12&gt;H7,((J12*I8-J8)*J11))))))</f>
        <v>#N/A</v>
      </c>
    </row>
    <row r="16" spans="2:10">
      <c r="G16" s="228" t="s">
        <v>188</v>
      </c>
      <c r="H16" s="229">
        <v>0.4</v>
      </c>
    </row>
    <row r="17" spans="7:12">
      <c r="G17" s="235" t="s">
        <v>185</v>
      </c>
      <c r="H17" s="236"/>
      <c r="I17" s="236"/>
      <c r="J17" s="237"/>
    </row>
    <row r="18" spans="7:12">
      <c r="G18" s="238"/>
      <c r="H18" s="239"/>
      <c r="I18" s="239" t="s">
        <v>193</v>
      </c>
      <c r="J18" s="239" t="s">
        <v>192</v>
      </c>
    </row>
    <row r="19" spans="7:12">
      <c r="G19" s="13" t="s">
        <v>186</v>
      </c>
      <c r="I19" s="200" t="e">
        <f>'(02.2) Mem Detalhada (DEPRE SP)'!J285</f>
        <v>#N/A</v>
      </c>
      <c r="J19" s="232" t="e">
        <f>I19/(I19+I20)</f>
        <v>#N/A</v>
      </c>
    </row>
    <row r="20" spans="7:12">
      <c r="G20" s="13" t="s">
        <v>176</v>
      </c>
      <c r="I20" s="200" t="e">
        <f>'(02.2) Mem Detalhada (DEPRE SP)'!K296/0.94</f>
        <v>#N/A</v>
      </c>
      <c r="J20" s="232" t="e">
        <f>I20/(I19+I20)</f>
        <v>#N/A</v>
      </c>
    </row>
    <row r="21" spans="7:12">
      <c r="G21" s="13" t="s">
        <v>189</v>
      </c>
      <c r="I21" s="200" t="e">
        <f>'(02.2) Mem Detalhada (DEPRE SP)'!I285</f>
        <v>#N/A</v>
      </c>
    </row>
    <row r="22" spans="7:12">
      <c r="G22" s="230" t="s">
        <v>190</v>
      </c>
      <c r="H22" s="230"/>
      <c r="I22" s="231" t="e">
        <f>SUM(I19:I21)</f>
        <v>#N/A</v>
      </c>
      <c r="L22" s="201"/>
    </row>
    <row r="24" spans="7:12">
      <c r="G24" s="230" t="s">
        <v>191</v>
      </c>
      <c r="H24" s="230"/>
      <c r="I24" s="231" t="e">
        <f>I22*'(02.2) Mem Detalhada (DEPRE SP)'!H310</f>
        <v>#N/A</v>
      </c>
    </row>
    <row r="26" spans="7:12">
      <c r="G26" s="238" t="s">
        <v>194</v>
      </c>
      <c r="H26" s="239"/>
      <c r="I26" s="240" t="s">
        <v>193</v>
      </c>
    </row>
    <row r="27" spans="7:12">
      <c r="G27" s="13" t="s">
        <v>186</v>
      </c>
      <c r="I27" s="233" t="e">
        <f>I19-(I24*J19)</f>
        <v>#N/A</v>
      </c>
    </row>
    <row r="28" spans="7:12">
      <c r="G28" s="13" t="s">
        <v>176</v>
      </c>
      <c r="I28" s="233" t="e">
        <f>I20-(I24*J20)</f>
        <v>#N/A</v>
      </c>
    </row>
    <row r="29" spans="7:12">
      <c r="G29" s="13" t="s">
        <v>189</v>
      </c>
      <c r="I29" s="233" t="e">
        <f>I21</f>
        <v>#N/A</v>
      </c>
    </row>
    <row r="31" spans="7:12">
      <c r="G31" s="238" t="s">
        <v>195</v>
      </c>
      <c r="H31" s="239"/>
      <c r="I31" s="240" t="s">
        <v>193</v>
      </c>
    </row>
    <row r="32" spans="7:12">
      <c r="G32" s="13" t="s">
        <v>186</v>
      </c>
      <c r="I32" s="233" t="e">
        <f>I27*(1-$H$16)</f>
        <v>#N/A</v>
      </c>
    </row>
    <row r="33" spans="2:9">
      <c r="G33" s="13" t="s">
        <v>176</v>
      </c>
      <c r="I33" s="233" t="e">
        <f>I28*(1-$H$16)</f>
        <v>#N/A</v>
      </c>
    </row>
    <row r="34" spans="2:9">
      <c r="G34" s="13" t="s">
        <v>189</v>
      </c>
      <c r="I34" s="233" t="e">
        <f>I29*(1-$H$16)</f>
        <v>#N/A</v>
      </c>
    </row>
    <row r="35" spans="2:9">
      <c r="G35" s="243" t="s">
        <v>198</v>
      </c>
      <c r="H35" s="243"/>
      <c r="I35" s="244" t="e">
        <f>-J14</f>
        <v>#N/A</v>
      </c>
    </row>
    <row r="36" spans="2:9">
      <c r="G36" s="230" t="s">
        <v>196</v>
      </c>
      <c r="I36" s="233" t="e">
        <f>I32+I33+I35</f>
        <v>#N/A</v>
      </c>
    </row>
    <row r="37" spans="2:9" ht="18.5">
      <c r="G37" s="241" t="s">
        <v>197</v>
      </c>
      <c r="H37" s="225"/>
      <c r="I37" s="242" t="e">
        <f>I36/(1-H16)</f>
        <v>#N/A</v>
      </c>
    </row>
    <row r="38" spans="2:9">
      <c r="I38" s="201"/>
    </row>
    <row r="39" spans="2:9">
      <c r="I39" s="201"/>
    </row>
    <row r="41" spans="2:9">
      <c r="B41" s="13" t="e">
        <f>#N/A</f>
        <v>#N/A</v>
      </c>
    </row>
  </sheetData>
  <mergeCells count="4">
    <mergeCell ref="B2:E2"/>
    <mergeCell ref="G2:J2"/>
    <mergeCell ref="G3:H3"/>
    <mergeCell ref="B3:C3"/>
  </mergeCells>
  <pageMargins left="0.511811024" right="0.511811024" top="0.78740157499999996" bottom="0.78740157499999996" header="0.31496062000000002" footer="0.31496062000000002"/>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748E471AD2B7648A7EF104C8E99CB9B" ma:contentTypeVersion="16" ma:contentTypeDescription="Crie um novo documento." ma:contentTypeScope="" ma:versionID="8ea23b8d03931e525caabc1e652ff9e6">
  <xsd:schema xmlns:xsd="http://www.w3.org/2001/XMLSchema" xmlns:xs="http://www.w3.org/2001/XMLSchema" xmlns:p="http://schemas.microsoft.com/office/2006/metadata/properties" xmlns:ns2="030c9e94-687b-4054-be7c-2bb1028697ab" xmlns:ns3="4d20f4e1-2a73-49f1-8bd5-0bd354accf54" targetNamespace="http://schemas.microsoft.com/office/2006/metadata/properties" ma:root="true" ma:fieldsID="3e99d1420432b31bff8e5ea1f3fd5976" ns2:_="" ns3:_="">
    <xsd:import namespace="030c9e94-687b-4054-be7c-2bb1028697ab"/>
    <xsd:import namespace="4d20f4e1-2a73-49f1-8bd5-0bd354accf5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0c9e94-687b-4054-be7c-2bb1028697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2b94a48e-93ff-441f-adc8-b0a37a1d3a9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4d20f4e1-2a73-49f1-8bd5-0bd354accf54" elementFormDefault="qualified">
    <xsd:import namespace="http://schemas.microsoft.com/office/2006/documentManagement/types"/>
    <xsd:import namespace="http://schemas.microsoft.com/office/infopath/2007/PartnerControls"/>
    <xsd:element name="SharedWithUsers" ma:index="17"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hes de Compartilhado Com" ma:internalName="SharedWithDetails" ma:readOnly="true">
      <xsd:simpleType>
        <xsd:restriction base="dms:Note">
          <xsd:maxLength value="255"/>
        </xsd:restriction>
      </xsd:simpleType>
    </xsd:element>
    <xsd:element name="TaxCatchAll" ma:index="19" nillable="true" ma:displayName="Taxonomy Catch All Column" ma:hidden="true" ma:list="{18b50fc4-b1c0-4076-b5c0-9556f7ebd166}" ma:internalName="TaxCatchAll" ma:showField="CatchAllData" ma:web="4d20f4e1-2a73-49f1-8bd5-0bd354accf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30c9e94-687b-4054-be7c-2bb1028697ab">
      <Terms xmlns="http://schemas.microsoft.com/office/infopath/2007/PartnerControls"/>
    </lcf76f155ced4ddcb4097134ff3c332f>
    <TaxCatchAll xmlns="4d20f4e1-2a73-49f1-8bd5-0bd354accf54" xsi:nil="true"/>
  </documentManagement>
</p:properties>
</file>

<file path=customXml/itemProps1.xml><?xml version="1.0" encoding="utf-8"?>
<ds:datastoreItem xmlns:ds="http://schemas.openxmlformats.org/officeDocument/2006/customXml" ds:itemID="{1FC96586-715C-42A3-9154-F3B25CB2D282}">
  <ds:schemaRefs>
    <ds:schemaRef ds:uri="http://schemas.microsoft.com/sharepoint/v3/contenttype/forms"/>
  </ds:schemaRefs>
</ds:datastoreItem>
</file>

<file path=customXml/itemProps2.xml><?xml version="1.0" encoding="utf-8"?>
<ds:datastoreItem xmlns:ds="http://schemas.openxmlformats.org/officeDocument/2006/customXml" ds:itemID="{E8A6C3FB-F17F-4422-90DE-87125AAC54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0c9e94-687b-4054-be7c-2bb1028697ab"/>
    <ds:schemaRef ds:uri="4d20f4e1-2a73-49f1-8bd5-0bd354accf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7AEF2C-ABC8-4013-BCC3-9B0CABE03F12}">
  <ds:schemaRefs>
    <ds:schemaRef ds:uri="http://schemas.microsoft.com/office/2006/metadata/properties"/>
    <ds:schemaRef ds:uri="http://schemas.microsoft.com/office/infopath/2007/PartnerControls"/>
    <ds:schemaRef ds:uri="030c9e94-687b-4054-be7c-2bb1028697ab"/>
    <ds:schemaRef ds:uri="4d20f4e1-2a73-49f1-8bd5-0bd354accf5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9</vt:i4>
      </vt:variant>
    </vt:vector>
  </HeadingPairs>
  <TitlesOfParts>
    <vt:vector size="16" baseType="lpstr">
      <vt:lpstr>(02.2) Mem Detalhada (DEPRE SP)</vt:lpstr>
      <vt:lpstr>(01.1) TABELA DEPRE-EC 113</vt:lpstr>
      <vt:lpstr>(01.2) TABELA DEPRE-IPCAE</vt:lpstr>
      <vt:lpstr>(01.3) POUPANCA</vt:lpstr>
      <vt:lpstr>(01.4) SELIC</vt:lpstr>
      <vt:lpstr>Datas OCs</vt:lpstr>
      <vt:lpstr>RRA</vt:lpstr>
      <vt:lpstr>'(02.2) Mem Detalhada (DEPRE SP)'!Area_de_impressao</vt:lpstr>
      <vt:lpstr>POUP_DATA</vt:lpstr>
      <vt:lpstr>POUP_VALOR</vt:lpstr>
      <vt:lpstr>POUPANCA</vt:lpstr>
      <vt:lpstr>SELIC</vt:lpstr>
      <vt:lpstr>SELIC_DATA</vt:lpstr>
      <vt:lpstr>SELIC_VALOR</vt:lpstr>
      <vt:lpstr>TABELADEPRESP</vt:lpstr>
      <vt:lpstr>TABIPCATJSP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Diego Machado</dc:creator>
  <cp:keywords/>
  <dc:description/>
  <cp:lastModifiedBy>Filipe Noberto</cp:lastModifiedBy>
  <cp:revision/>
  <cp:lastPrinted>2025-09-10T12:02:13Z</cp:lastPrinted>
  <dcterms:created xsi:type="dcterms:W3CDTF">2021-01-07T22:06:28Z</dcterms:created>
  <dcterms:modified xsi:type="dcterms:W3CDTF">2026-04-27T18:19:37Z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0x0101003748E471AD2B7648A7EF104C8E99CB9B</vt:lpwstr>
  </property>
  <property fmtid="{D5CDD505-2E9C-101B-9397-08002B2CF9AE}" pid="3" name="Order">
    <vt:r8>792400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